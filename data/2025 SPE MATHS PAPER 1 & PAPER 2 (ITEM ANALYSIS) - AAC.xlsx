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qma\Desktop\"/>
    </mc:Choice>
  </mc:AlternateContent>
  <xr:revisionPtr revIDLastSave="0" documentId="13_ncr:1_{46C89EF0-713E-40E2-8C91-9893B2AD50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PE maths 1 &amp; 2" sheetId="2" r:id="rId1"/>
    <sheet name="Sheet2" sheetId="4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E97" i="2" l="1"/>
  <c r="AN23" i="2" l="1"/>
  <c r="CF181" i="2" l="1"/>
  <c r="CG181" i="2" s="1"/>
  <c r="CI181" i="2" s="1"/>
  <c r="CF221" i="2"/>
  <c r="CG221" i="2" s="1"/>
  <c r="CI221" i="2" s="1"/>
  <c r="CE24" i="2"/>
  <c r="CE25" i="2"/>
  <c r="CE26" i="2"/>
  <c r="CE27" i="2"/>
  <c r="CE28" i="2"/>
  <c r="CE29" i="2"/>
  <c r="CE30" i="2"/>
  <c r="CE31" i="2"/>
  <c r="CE32" i="2"/>
  <c r="CE33" i="2"/>
  <c r="CE34" i="2"/>
  <c r="CE35" i="2"/>
  <c r="CE36" i="2"/>
  <c r="CE37" i="2"/>
  <c r="CE38" i="2"/>
  <c r="CE39" i="2"/>
  <c r="CE40" i="2"/>
  <c r="CE41" i="2"/>
  <c r="CE42" i="2"/>
  <c r="CE43" i="2"/>
  <c r="CE44" i="2"/>
  <c r="CE45" i="2"/>
  <c r="CE46" i="2"/>
  <c r="CE47" i="2"/>
  <c r="CE48" i="2"/>
  <c r="CE49" i="2"/>
  <c r="CE50" i="2"/>
  <c r="CE51" i="2"/>
  <c r="CE52" i="2"/>
  <c r="CE53" i="2"/>
  <c r="CE54" i="2"/>
  <c r="CE55" i="2"/>
  <c r="CE56" i="2"/>
  <c r="CE57" i="2"/>
  <c r="CE58" i="2"/>
  <c r="CE59" i="2"/>
  <c r="CE60" i="2"/>
  <c r="CE61" i="2"/>
  <c r="CE62" i="2"/>
  <c r="CE63" i="2"/>
  <c r="CE64" i="2"/>
  <c r="CE65" i="2"/>
  <c r="CE66" i="2"/>
  <c r="CE67" i="2"/>
  <c r="CE68" i="2"/>
  <c r="CE69" i="2"/>
  <c r="CE70" i="2"/>
  <c r="CE71" i="2"/>
  <c r="CE72" i="2"/>
  <c r="CE73" i="2"/>
  <c r="CE74" i="2"/>
  <c r="CE75" i="2"/>
  <c r="CE76" i="2"/>
  <c r="CE77" i="2"/>
  <c r="CE78" i="2"/>
  <c r="CE79" i="2"/>
  <c r="CE80" i="2"/>
  <c r="CE81" i="2"/>
  <c r="CE82" i="2"/>
  <c r="CE83" i="2"/>
  <c r="CE84" i="2"/>
  <c r="CE85" i="2"/>
  <c r="CE86" i="2"/>
  <c r="CE87" i="2"/>
  <c r="CE88" i="2"/>
  <c r="CE89" i="2"/>
  <c r="CE90" i="2"/>
  <c r="CE91" i="2"/>
  <c r="CE92" i="2"/>
  <c r="CE93" i="2"/>
  <c r="CE94" i="2"/>
  <c r="CE95" i="2"/>
  <c r="CE96" i="2"/>
  <c r="CE98" i="2"/>
  <c r="CE99" i="2"/>
  <c r="CE100" i="2"/>
  <c r="CE101" i="2"/>
  <c r="CE102" i="2"/>
  <c r="CE103" i="2"/>
  <c r="CE104" i="2"/>
  <c r="CE105" i="2"/>
  <c r="CE106" i="2"/>
  <c r="CE107" i="2"/>
  <c r="CE108" i="2"/>
  <c r="CE109" i="2"/>
  <c r="CE110" i="2"/>
  <c r="CE111" i="2"/>
  <c r="CE112" i="2"/>
  <c r="CE113" i="2"/>
  <c r="CE114" i="2"/>
  <c r="CE115" i="2"/>
  <c r="CE116" i="2"/>
  <c r="CE117" i="2"/>
  <c r="CE118" i="2"/>
  <c r="CE119" i="2"/>
  <c r="CE120" i="2"/>
  <c r="CE121" i="2"/>
  <c r="CE122" i="2"/>
  <c r="CE123" i="2"/>
  <c r="CE124" i="2"/>
  <c r="CE125" i="2"/>
  <c r="CE126" i="2"/>
  <c r="CE127" i="2"/>
  <c r="CE128" i="2"/>
  <c r="CE129" i="2"/>
  <c r="CE130" i="2"/>
  <c r="CE131" i="2"/>
  <c r="CE132" i="2"/>
  <c r="CE133" i="2"/>
  <c r="CE134" i="2"/>
  <c r="CE135" i="2"/>
  <c r="CE136" i="2"/>
  <c r="CE137" i="2"/>
  <c r="CE138" i="2"/>
  <c r="CE139" i="2"/>
  <c r="CE140" i="2"/>
  <c r="CE141" i="2"/>
  <c r="CE142" i="2"/>
  <c r="CE143" i="2"/>
  <c r="CE144" i="2"/>
  <c r="CE145" i="2"/>
  <c r="CE146" i="2"/>
  <c r="CE147" i="2"/>
  <c r="CE148" i="2"/>
  <c r="CE149" i="2"/>
  <c r="CE150" i="2"/>
  <c r="CE151" i="2"/>
  <c r="CE152" i="2"/>
  <c r="CE153" i="2"/>
  <c r="CE154" i="2"/>
  <c r="CE155" i="2"/>
  <c r="CE156" i="2"/>
  <c r="CE157" i="2"/>
  <c r="CE158" i="2"/>
  <c r="CE159" i="2"/>
  <c r="CE160" i="2"/>
  <c r="CE161" i="2"/>
  <c r="CE162" i="2"/>
  <c r="CE163" i="2"/>
  <c r="CE164" i="2"/>
  <c r="CE165" i="2"/>
  <c r="CE166" i="2"/>
  <c r="CE167" i="2"/>
  <c r="CE168" i="2"/>
  <c r="CE169" i="2"/>
  <c r="CE170" i="2"/>
  <c r="CE171" i="2"/>
  <c r="CE172" i="2"/>
  <c r="CE173" i="2"/>
  <c r="CE174" i="2"/>
  <c r="CE175" i="2"/>
  <c r="CE176" i="2"/>
  <c r="CE177" i="2"/>
  <c r="CE178" i="2"/>
  <c r="CE179" i="2"/>
  <c r="CE180" i="2"/>
  <c r="CE181" i="2"/>
  <c r="CE182" i="2"/>
  <c r="CE183" i="2"/>
  <c r="CE184" i="2"/>
  <c r="CE185" i="2"/>
  <c r="CE186" i="2"/>
  <c r="CE187" i="2"/>
  <c r="CE188" i="2"/>
  <c r="CE189" i="2"/>
  <c r="CE190" i="2"/>
  <c r="CE191" i="2"/>
  <c r="CE192" i="2"/>
  <c r="CE193" i="2"/>
  <c r="CE194" i="2"/>
  <c r="CE195" i="2"/>
  <c r="CE196" i="2"/>
  <c r="CE197" i="2"/>
  <c r="CE198" i="2"/>
  <c r="CE199" i="2"/>
  <c r="CE200" i="2"/>
  <c r="CE201" i="2"/>
  <c r="CE202" i="2"/>
  <c r="CE203" i="2"/>
  <c r="CE204" i="2"/>
  <c r="CE205" i="2"/>
  <c r="CE206" i="2"/>
  <c r="CE207" i="2"/>
  <c r="CE208" i="2"/>
  <c r="CE209" i="2"/>
  <c r="CE210" i="2"/>
  <c r="CE211" i="2"/>
  <c r="CE212" i="2"/>
  <c r="CE213" i="2"/>
  <c r="CE214" i="2"/>
  <c r="CE215" i="2"/>
  <c r="CE216" i="2"/>
  <c r="CE217" i="2"/>
  <c r="CE218" i="2"/>
  <c r="CE219" i="2"/>
  <c r="CE220" i="2"/>
  <c r="CE221" i="2"/>
  <c r="CE222" i="2"/>
  <c r="CE223" i="2"/>
  <c r="CE224" i="2"/>
  <c r="CE225" i="2"/>
  <c r="CE226" i="2"/>
  <c r="CE227" i="2"/>
  <c r="CE228" i="2"/>
  <c r="CE229" i="2"/>
  <c r="CE230" i="2"/>
  <c r="CE231" i="2"/>
  <c r="CE232" i="2"/>
  <c r="CE233" i="2"/>
  <c r="CE234" i="2"/>
  <c r="CE235" i="2"/>
  <c r="CE236" i="2"/>
  <c r="CE237" i="2"/>
  <c r="CE238" i="2"/>
  <c r="CE239" i="2"/>
  <c r="CE240" i="2"/>
  <c r="CE241" i="2"/>
  <c r="CE242" i="2"/>
  <c r="CE243" i="2"/>
  <c r="CE244" i="2"/>
  <c r="CE245" i="2"/>
  <c r="CE246" i="2"/>
  <c r="CE247" i="2"/>
  <c r="CE248" i="2"/>
  <c r="CE249" i="2"/>
  <c r="CE250" i="2"/>
  <c r="CE251" i="2"/>
  <c r="CE252" i="2"/>
  <c r="CE253" i="2"/>
  <c r="CE254" i="2"/>
  <c r="CE255" i="2"/>
  <c r="CE256" i="2"/>
  <c r="CE257" i="2"/>
  <c r="CE258" i="2"/>
  <c r="CE259" i="2"/>
  <c r="CE260" i="2"/>
  <c r="CE261" i="2"/>
  <c r="CE262" i="2"/>
  <c r="CE263" i="2"/>
  <c r="CE264" i="2"/>
  <c r="CE265" i="2"/>
  <c r="CE266" i="2"/>
  <c r="CE267" i="2"/>
  <c r="CE268" i="2"/>
  <c r="CE269" i="2"/>
  <c r="CE270" i="2"/>
  <c r="CE271" i="2"/>
  <c r="CE272" i="2"/>
  <c r="CE273" i="2"/>
  <c r="CE274" i="2"/>
  <c r="CE275" i="2"/>
  <c r="CE276" i="2"/>
  <c r="CE277" i="2"/>
  <c r="CE278" i="2"/>
  <c r="CE279" i="2"/>
  <c r="CE280" i="2"/>
  <c r="CE281" i="2"/>
  <c r="CE282" i="2"/>
  <c r="CE283" i="2"/>
  <c r="CE284" i="2"/>
  <c r="CE285" i="2"/>
  <c r="CE286" i="2"/>
  <c r="CE287" i="2"/>
  <c r="CE288" i="2"/>
  <c r="CE289" i="2"/>
  <c r="CE290" i="2"/>
  <c r="CE291" i="2"/>
  <c r="CE292" i="2"/>
  <c r="CE293" i="2"/>
  <c r="CE294" i="2"/>
  <c r="CE295" i="2"/>
  <c r="CE296" i="2"/>
  <c r="CE297" i="2"/>
  <c r="CE298" i="2"/>
  <c r="CE299" i="2"/>
  <c r="CE300" i="2"/>
  <c r="CE301" i="2"/>
  <c r="CE302" i="2"/>
  <c r="CE303" i="2"/>
  <c r="CE304" i="2"/>
  <c r="CE305" i="2"/>
  <c r="CE306" i="2"/>
  <c r="CE307" i="2"/>
  <c r="CE308" i="2"/>
  <c r="CE309" i="2"/>
  <c r="CE310" i="2"/>
  <c r="CE311" i="2"/>
  <c r="CE312" i="2"/>
  <c r="CE313" i="2"/>
  <c r="CE314" i="2"/>
  <c r="CE315" i="2"/>
  <c r="CE316" i="2"/>
  <c r="CE317" i="2"/>
  <c r="CE318" i="2"/>
  <c r="CE319" i="2"/>
  <c r="CE320" i="2"/>
  <c r="CE321" i="2"/>
  <c r="CE322" i="2"/>
  <c r="CE23" i="2"/>
  <c r="CF23" i="2" s="1"/>
  <c r="CG23" i="2" s="1"/>
  <c r="CI23" i="2" s="1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CF109" i="2" s="1"/>
  <c r="CG109" i="2" s="1"/>
  <c r="CI109" i="2" s="1"/>
  <c r="AN110" i="2"/>
  <c r="AN111" i="2"/>
  <c r="CF111" i="2" s="1"/>
  <c r="CG111" i="2" s="1"/>
  <c r="CI111" i="2" s="1"/>
  <c r="AN112" i="2"/>
  <c r="CF112" i="2" s="1"/>
  <c r="CG112" i="2" s="1"/>
  <c r="CI112" i="2" s="1"/>
  <c r="AN113" i="2"/>
  <c r="CF113" i="2" s="1"/>
  <c r="CG113" i="2" s="1"/>
  <c r="CI113" i="2" s="1"/>
  <c r="AN114" i="2"/>
  <c r="CF114" i="2" s="1"/>
  <c r="CG114" i="2" s="1"/>
  <c r="CI114" i="2" s="1"/>
  <c r="AN115" i="2"/>
  <c r="CF115" i="2" s="1"/>
  <c r="CG115" i="2" s="1"/>
  <c r="CI115" i="2" s="1"/>
  <c r="AN116" i="2"/>
  <c r="CF116" i="2" s="1"/>
  <c r="CG116" i="2" s="1"/>
  <c r="CI116" i="2" s="1"/>
  <c r="AN117" i="2"/>
  <c r="CF117" i="2" s="1"/>
  <c r="CG117" i="2" s="1"/>
  <c r="CI117" i="2" s="1"/>
  <c r="AN118" i="2"/>
  <c r="AN119" i="2"/>
  <c r="CF119" i="2" s="1"/>
  <c r="CG119" i="2" s="1"/>
  <c r="CI119" i="2" s="1"/>
  <c r="AN120" i="2"/>
  <c r="CF120" i="2" s="1"/>
  <c r="CG120" i="2" s="1"/>
  <c r="CI120" i="2" s="1"/>
  <c r="AN121" i="2"/>
  <c r="CF121" i="2" s="1"/>
  <c r="CG121" i="2" s="1"/>
  <c r="CI121" i="2" s="1"/>
  <c r="AN122" i="2"/>
  <c r="CF122" i="2" s="1"/>
  <c r="CG122" i="2" s="1"/>
  <c r="CI122" i="2" s="1"/>
  <c r="AN123" i="2"/>
  <c r="CF123" i="2" s="1"/>
  <c r="CG123" i="2" s="1"/>
  <c r="CI123" i="2" s="1"/>
  <c r="AN124" i="2"/>
  <c r="CF124" i="2" s="1"/>
  <c r="CG124" i="2" s="1"/>
  <c r="CI124" i="2" s="1"/>
  <c r="AN125" i="2"/>
  <c r="CF125" i="2" s="1"/>
  <c r="CG125" i="2" s="1"/>
  <c r="CI125" i="2" s="1"/>
  <c r="AN126" i="2"/>
  <c r="AN127" i="2"/>
  <c r="CF127" i="2" s="1"/>
  <c r="CG127" i="2" s="1"/>
  <c r="CI127" i="2" s="1"/>
  <c r="AN128" i="2"/>
  <c r="CF128" i="2" s="1"/>
  <c r="CG128" i="2" s="1"/>
  <c r="CI128" i="2" s="1"/>
  <c r="AN129" i="2"/>
  <c r="CF129" i="2" s="1"/>
  <c r="CG129" i="2" s="1"/>
  <c r="CI129" i="2" s="1"/>
  <c r="AN130" i="2"/>
  <c r="CF130" i="2" s="1"/>
  <c r="CG130" i="2" s="1"/>
  <c r="CI130" i="2" s="1"/>
  <c r="AN131" i="2"/>
  <c r="CF131" i="2" s="1"/>
  <c r="CG131" i="2" s="1"/>
  <c r="CI131" i="2" s="1"/>
  <c r="AN132" i="2"/>
  <c r="CF132" i="2" s="1"/>
  <c r="CG132" i="2" s="1"/>
  <c r="CI132" i="2" s="1"/>
  <c r="AN133" i="2"/>
  <c r="CF133" i="2" s="1"/>
  <c r="CG133" i="2" s="1"/>
  <c r="CI133" i="2" s="1"/>
  <c r="AN134" i="2"/>
  <c r="AN135" i="2"/>
  <c r="CF135" i="2" s="1"/>
  <c r="CG135" i="2" s="1"/>
  <c r="CI135" i="2" s="1"/>
  <c r="AN136" i="2"/>
  <c r="CF136" i="2" s="1"/>
  <c r="CG136" i="2" s="1"/>
  <c r="CI136" i="2" s="1"/>
  <c r="AN137" i="2"/>
  <c r="CF137" i="2" s="1"/>
  <c r="CG137" i="2" s="1"/>
  <c r="CI137" i="2" s="1"/>
  <c r="AN138" i="2"/>
  <c r="CF138" i="2" s="1"/>
  <c r="CG138" i="2" s="1"/>
  <c r="CI138" i="2" s="1"/>
  <c r="AN139" i="2"/>
  <c r="CF139" i="2" s="1"/>
  <c r="CG139" i="2" s="1"/>
  <c r="CI139" i="2" s="1"/>
  <c r="AN140" i="2"/>
  <c r="CF140" i="2" s="1"/>
  <c r="CG140" i="2" s="1"/>
  <c r="CI140" i="2" s="1"/>
  <c r="AN141" i="2"/>
  <c r="CF141" i="2" s="1"/>
  <c r="CG141" i="2" s="1"/>
  <c r="CI141" i="2" s="1"/>
  <c r="AN142" i="2"/>
  <c r="AN143" i="2"/>
  <c r="CF143" i="2" s="1"/>
  <c r="CG143" i="2" s="1"/>
  <c r="CI143" i="2" s="1"/>
  <c r="AN144" i="2"/>
  <c r="CF144" i="2" s="1"/>
  <c r="CG144" i="2" s="1"/>
  <c r="CI144" i="2" s="1"/>
  <c r="AN145" i="2"/>
  <c r="CF145" i="2" s="1"/>
  <c r="CG145" i="2" s="1"/>
  <c r="CI145" i="2" s="1"/>
  <c r="AN146" i="2"/>
  <c r="CF146" i="2" s="1"/>
  <c r="CG146" i="2" s="1"/>
  <c r="CI146" i="2" s="1"/>
  <c r="AN147" i="2"/>
  <c r="CF147" i="2" s="1"/>
  <c r="CG147" i="2" s="1"/>
  <c r="CI147" i="2" s="1"/>
  <c r="AN148" i="2"/>
  <c r="CF148" i="2" s="1"/>
  <c r="CG148" i="2" s="1"/>
  <c r="CI148" i="2" s="1"/>
  <c r="AN149" i="2"/>
  <c r="CF149" i="2" s="1"/>
  <c r="CG149" i="2" s="1"/>
  <c r="CI149" i="2" s="1"/>
  <c r="AN150" i="2"/>
  <c r="AN151" i="2"/>
  <c r="CF151" i="2" s="1"/>
  <c r="CG151" i="2" s="1"/>
  <c r="CI151" i="2" s="1"/>
  <c r="AN152" i="2"/>
  <c r="CF152" i="2" s="1"/>
  <c r="CG152" i="2" s="1"/>
  <c r="CI152" i="2" s="1"/>
  <c r="AN153" i="2"/>
  <c r="CF153" i="2" s="1"/>
  <c r="CG153" i="2" s="1"/>
  <c r="CI153" i="2" s="1"/>
  <c r="AN154" i="2"/>
  <c r="CF154" i="2" s="1"/>
  <c r="CG154" i="2" s="1"/>
  <c r="CI154" i="2" s="1"/>
  <c r="AN155" i="2"/>
  <c r="CF155" i="2" s="1"/>
  <c r="CG155" i="2" s="1"/>
  <c r="CI155" i="2" s="1"/>
  <c r="AN156" i="2"/>
  <c r="CF156" i="2" s="1"/>
  <c r="CG156" i="2" s="1"/>
  <c r="CI156" i="2" s="1"/>
  <c r="AN157" i="2"/>
  <c r="CF157" i="2" s="1"/>
  <c r="CG157" i="2" s="1"/>
  <c r="CI157" i="2" s="1"/>
  <c r="AN158" i="2"/>
  <c r="AN159" i="2"/>
  <c r="CF159" i="2" s="1"/>
  <c r="CG159" i="2" s="1"/>
  <c r="CI159" i="2" s="1"/>
  <c r="AN160" i="2"/>
  <c r="CF160" i="2" s="1"/>
  <c r="CG160" i="2" s="1"/>
  <c r="CI160" i="2" s="1"/>
  <c r="AN161" i="2"/>
  <c r="CF161" i="2" s="1"/>
  <c r="CG161" i="2" s="1"/>
  <c r="CI161" i="2" s="1"/>
  <c r="AN162" i="2"/>
  <c r="CF162" i="2" s="1"/>
  <c r="CG162" i="2" s="1"/>
  <c r="CI162" i="2" s="1"/>
  <c r="AN163" i="2"/>
  <c r="CF163" i="2" s="1"/>
  <c r="CG163" i="2" s="1"/>
  <c r="CI163" i="2" s="1"/>
  <c r="AN164" i="2"/>
  <c r="CF164" i="2" s="1"/>
  <c r="CG164" i="2" s="1"/>
  <c r="CI164" i="2" s="1"/>
  <c r="AN165" i="2"/>
  <c r="CF165" i="2" s="1"/>
  <c r="CG165" i="2" s="1"/>
  <c r="CI165" i="2" s="1"/>
  <c r="AN166" i="2"/>
  <c r="AN167" i="2"/>
  <c r="CF167" i="2" s="1"/>
  <c r="CG167" i="2" s="1"/>
  <c r="CI167" i="2" s="1"/>
  <c r="AN168" i="2"/>
  <c r="CF168" i="2" s="1"/>
  <c r="CG168" i="2" s="1"/>
  <c r="CI168" i="2" s="1"/>
  <c r="AN169" i="2"/>
  <c r="CF169" i="2" s="1"/>
  <c r="CG169" i="2" s="1"/>
  <c r="CI169" i="2" s="1"/>
  <c r="AN170" i="2"/>
  <c r="CF170" i="2" s="1"/>
  <c r="CG170" i="2" s="1"/>
  <c r="CI170" i="2" s="1"/>
  <c r="AN171" i="2"/>
  <c r="CF171" i="2" s="1"/>
  <c r="CG171" i="2" s="1"/>
  <c r="CI171" i="2" s="1"/>
  <c r="AN172" i="2"/>
  <c r="CF172" i="2" s="1"/>
  <c r="CG172" i="2" s="1"/>
  <c r="CI172" i="2" s="1"/>
  <c r="AN173" i="2"/>
  <c r="CF173" i="2" s="1"/>
  <c r="CG173" i="2" s="1"/>
  <c r="CI173" i="2" s="1"/>
  <c r="AN174" i="2"/>
  <c r="AN175" i="2"/>
  <c r="CF175" i="2" s="1"/>
  <c r="CG175" i="2" s="1"/>
  <c r="CI175" i="2" s="1"/>
  <c r="AN176" i="2"/>
  <c r="CF176" i="2" s="1"/>
  <c r="CG176" i="2" s="1"/>
  <c r="CI176" i="2" s="1"/>
  <c r="AN177" i="2"/>
  <c r="CF177" i="2" s="1"/>
  <c r="CG177" i="2" s="1"/>
  <c r="CI177" i="2" s="1"/>
  <c r="AN178" i="2"/>
  <c r="CF178" i="2" s="1"/>
  <c r="CG178" i="2" s="1"/>
  <c r="CI178" i="2" s="1"/>
  <c r="AN179" i="2"/>
  <c r="CF179" i="2" s="1"/>
  <c r="CG179" i="2" s="1"/>
  <c r="CI179" i="2" s="1"/>
  <c r="AN180" i="2"/>
  <c r="CF180" i="2" s="1"/>
  <c r="CG180" i="2" s="1"/>
  <c r="CI180" i="2" s="1"/>
  <c r="AN181" i="2"/>
  <c r="AN182" i="2"/>
  <c r="AN183" i="2"/>
  <c r="CF183" i="2" s="1"/>
  <c r="CG183" i="2" s="1"/>
  <c r="CI183" i="2" s="1"/>
  <c r="AN184" i="2"/>
  <c r="CF184" i="2" s="1"/>
  <c r="CG184" i="2" s="1"/>
  <c r="CI184" i="2" s="1"/>
  <c r="AN185" i="2"/>
  <c r="CF185" i="2" s="1"/>
  <c r="CG185" i="2" s="1"/>
  <c r="CI185" i="2" s="1"/>
  <c r="AN186" i="2"/>
  <c r="CF186" i="2" s="1"/>
  <c r="CG186" i="2" s="1"/>
  <c r="CI186" i="2" s="1"/>
  <c r="AN187" i="2"/>
  <c r="CF187" i="2" s="1"/>
  <c r="CG187" i="2" s="1"/>
  <c r="CI187" i="2" s="1"/>
  <c r="AN188" i="2"/>
  <c r="CF188" i="2" s="1"/>
  <c r="CG188" i="2" s="1"/>
  <c r="CI188" i="2" s="1"/>
  <c r="AN189" i="2"/>
  <c r="CF189" i="2" s="1"/>
  <c r="CG189" i="2" s="1"/>
  <c r="CI189" i="2" s="1"/>
  <c r="AN190" i="2"/>
  <c r="AN191" i="2"/>
  <c r="CF191" i="2" s="1"/>
  <c r="CG191" i="2" s="1"/>
  <c r="CI191" i="2" s="1"/>
  <c r="AN192" i="2"/>
  <c r="CF192" i="2" s="1"/>
  <c r="CG192" i="2" s="1"/>
  <c r="CI192" i="2" s="1"/>
  <c r="AN193" i="2"/>
  <c r="CF193" i="2" s="1"/>
  <c r="CG193" i="2" s="1"/>
  <c r="CI193" i="2" s="1"/>
  <c r="AN194" i="2"/>
  <c r="CF194" i="2" s="1"/>
  <c r="CG194" i="2" s="1"/>
  <c r="CI194" i="2" s="1"/>
  <c r="AN195" i="2"/>
  <c r="CF195" i="2" s="1"/>
  <c r="CG195" i="2" s="1"/>
  <c r="CI195" i="2" s="1"/>
  <c r="AN196" i="2"/>
  <c r="CF196" i="2" s="1"/>
  <c r="CG196" i="2" s="1"/>
  <c r="CI196" i="2" s="1"/>
  <c r="AN197" i="2"/>
  <c r="CF197" i="2" s="1"/>
  <c r="CG197" i="2" s="1"/>
  <c r="CI197" i="2" s="1"/>
  <c r="AN198" i="2"/>
  <c r="AN199" i="2"/>
  <c r="CF199" i="2" s="1"/>
  <c r="CG199" i="2" s="1"/>
  <c r="CI199" i="2" s="1"/>
  <c r="AN200" i="2"/>
  <c r="CF200" i="2" s="1"/>
  <c r="CG200" i="2" s="1"/>
  <c r="CI200" i="2" s="1"/>
  <c r="AN201" i="2"/>
  <c r="CF201" i="2" s="1"/>
  <c r="CG201" i="2" s="1"/>
  <c r="CI201" i="2" s="1"/>
  <c r="AN202" i="2"/>
  <c r="CF202" i="2" s="1"/>
  <c r="CG202" i="2" s="1"/>
  <c r="CI202" i="2" s="1"/>
  <c r="AN203" i="2"/>
  <c r="CF203" i="2" s="1"/>
  <c r="CG203" i="2" s="1"/>
  <c r="CI203" i="2" s="1"/>
  <c r="AN204" i="2"/>
  <c r="CF204" i="2" s="1"/>
  <c r="CG204" i="2" s="1"/>
  <c r="CI204" i="2" s="1"/>
  <c r="AN205" i="2"/>
  <c r="CF205" i="2" s="1"/>
  <c r="CG205" i="2" s="1"/>
  <c r="CI205" i="2" s="1"/>
  <c r="AN206" i="2"/>
  <c r="AN207" i="2"/>
  <c r="CF207" i="2" s="1"/>
  <c r="CG207" i="2" s="1"/>
  <c r="CI207" i="2" s="1"/>
  <c r="AN208" i="2"/>
  <c r="CF208" i="2" s="1"/>
  <c r="CG208" i="2" s="1"/>
  <c r="CI208" i="2" s="1"/>
  <c r="AN209" i="2"/>
  <c r="CF209" i="2" s="1"/>
  <c r="CG209" i="2" s="1"/>
  <c r="CI209" i="2" s="1"/>
  <c r="AN210" i="2"/>
  <c r="CF210" i="2" s="1"/>
  <c r="CG210" i="2" s="1"/>
  <c r="CI210" i="2" s="1"/>
  <c r="AN211" i="2"/>
  <c r="CF211" i="2" s="1"/>
  <c r="CG211" i="2" s="1"/>
  <c r="CI211" i="2" s="1"/>
  <c r="AN212" i="2"/>
  <c r="CF212" i="2" s="1"/>
  <c r="CG212" i="2" s="1"/>
  <c r="CI212" i="2" s="1"/>
  <c r="AN213" i="2"/>
  <c r="CF213" i="2" s="1"/>
  <c r="CG213" i="2" s="1"/>
  <c r="CI213" i="2" s="1"/>
  <c r="AN214" i="2"/>
  <c r="AN215" i="2"/>
  <c r="CF215" i="2" s="1"/>
  <c r="CG215" i="2" s="1"/>
  <c r="CI215" i="2" s="1"/>
  <c r="AN216" i="2"/>
  <c r="CF216" i="2" s="1"/>
  <c r="CG216" i="2" s="1"/>
  <c r="CI216" i="2" s="1"/>
  <c r="AN217" i="2"/>
  <c r="CF217" i="2" s="1"/>
  <c r="CG217" i="2" s="1"/>
  <c r="CI217" i="2" s="1"/>
  <c r="AN218" i="2"/>
  <c r="CF218" i="2" s="1"/>
  <c r="CG218" i="2" s="1"/>
  <c r="CI218" i="2" s="1"/>
  <c r="AN219" i="2"/>
  <c r="CF219" i="2" s="1"/>
  <c r="CG219" i="2" s="1"/>
  <c r="CI219" i="2" s="1"/>
  <c r="AN220" i="2"/>
  <c r="CF220" i="2" s="1"/>
  <c r="CG220" i="2" s="1"/>
  <c r="CI220" i="2" s="1"/>
  <c r="AN221" i="2"/>
  <c r="AN222" i="2"/>
  <c r="AN223" i="2"/>
  <c r="CF223" i="2" s="1"/>
  <c r="CG223" i="2" s="1"/>
  <c r="CI223" i="2" s="1"/>
  <c r="AN224" i="2"/>
  <c r="CF224" i="2" s="1"/>
  <c r="CG224" i="2" s="1"/>
  <c r="CI224" i="2" s="1"/>
  <c r="AN225" i="2"/>
  <c r="CF225" i="2" s="1"/>
  <c r="CG225" i="2" s="1"/>
  <c r="CI225" i="2" s="1"/>
  <c r="AN226" i="2"/>
  <c r="CF226" i="2" s="1"/>
  <c r="CG226" i="2" s="1"/>
  <c r="CI226" i="2" s="1"/>
  <c r="AN227" i="2"/>
  <c r="CF227" i="2" s="1"/>
  <c r="CG227" i="2" s="1"/>
  <c r="CI227" i="2" s="1"/>
  <c r="AN228" i="2"/>
  <c r="CF228" i="2" s="1"/>
  <c r="CG228" i="2" s="1"/>
  <c r="CI228" i="2" s="1"/>
  <c r="AN229" i="2"/>
  <c r="CF229" i="2" s="1"/>
  <c r="CG229" i="2" s="1"/>
  <c r="CI229" i="2" s="1"/>
  <c r="AN230" i="2"/>
  <c r="AN231" i="2"/>
  <c r="CF231" i="2" s="1"/>
  <c r="CG231" i="2" s="1"/>
  <c r="CI231" i="2" s="1"/>
  <c r="AN232" i="2"/>
  <c r="CF232" i="2" s="1"/>
  <c r="CG232" i="2" s="1"/>
  <c r="CI232" i="2" s="1"/>
  <c r="AN233" i="2"/>
  <c r="CF233" i="2" s="1"/>
  <c r="CG233" i="2" s="1"/>
  <c r="CI233" i="2" s="1"/>
  <c r="AN234" i="2"/>
  <c r="CF234" i="2" s="1"/>
  <c r="CG234" i="2" s="1"/>
  <c r="CI234" i="2" s="1"/>
  <c r="AN235" i="2"/>
  <c r="CF235" i="2" s="1"/>
  <c r="CG235" i="2" s="1"/>
  <c r="CI235" i="2" s="1"/>
  <c r="AN236" i="2"/>
  <c r="CF236" i="2" s="1"/>
  <c r="CG236" i="2" s="1"/>
  <c r="CI236" i="2" s="1"/>
  <c r="AN237" i="2"/>
  <c r="CF237" i="2" s="1"/>
  <c r="CG237" i="2" s="1"/>
  <c r="CI237" i="2" s="1"/>
  <c r="AN238" i="2"/>
  <c r="AN239" i="2"/>
  <c r="CF239" i="2" s="1"/>
  <c r="CG239" i="2" s="1"/>
  <c r="CI239" i="2" s="1"/>
  <c r="AN240" i="2"/>
  <c r="CF240" i="2" s="1"/>
  <c r="CG240" i="2" s="1"/>
  <c r="CI240" i="2" s="1"/>
  <c r="AN241" i="2"/>
  <c r="CF241" i="2" s="1"/>
  <c r="CG241" i="2" s="1"/>
  <c r="CI241" i="2" s="1"/>
  <c r="AN242" i="2"/>
  <c r="CF242" i="2" s="1"/>
  <c r="CG242" i="2" s="1"/>
  <c r="CI242" i="2" s="1"/>
  <c r="AN243" i="2"/>
  <c r="CF243" i="2" s="1"/>
  <c r="CG243" i="2" s="1"/>
  <c r="CI243" i="2" s="1"/>
  <c r="AN244" i="2"/>
  <c r="CF244" i="2" s="1"/>
  <c r="CG244" i="2" s="1"/>
  <c r="CI244" i="2" s="1"/>
  <c r="AN245" i="2"/>
  <c r="CF245" i="2" s="1"/>
  <c r="CG245" i="2" s="1"/>
  <c r="CI245" i="2" s="1"/>
  <c r="AN246" i="2"/>
  <c r="AN247" i="2"/>
  <c r="CF247" i="2" s="1"/>
  <c r="CG247" i="2" s="1"/>
  <c r="CI247" i="2" s="1"/>
  <c r="AN248" i="2"/>
  <c r="CF248" i="2" s="1"/>
  <c r="CG248" i="2" s="1"/>
  <c r="CI248" i="2" s="1"/>
  <c r="AN249" i="2"/>
  <c r="CF249" i="2" s="1"/>
  <c r="CG249" i="2" s="1"/>
  <c r="CI249" i="2" s="1"/>
  <c r="AN250" i="2"/>
  <c r="CF250" i="2" s="1"/>
  <c r="CG250" i="2" s="1"/>
  <c r="CI250" i="2" s="1"/>
  <c r="AN251" i="2"/>
  <c r="CF251" i="2" s="1"/>
  <c r="CG251" i="2" s="1"/>
  <c r="CI251" i="2" s="1"/>
  <c r="AN252" i="2"/>
  <c r="CF252" i="2" s="1"/>
  <c r="CG252" i="2" s="1"/>
  <c r="CI252" i="2" s="1"/>
  <c r="AN253" i="2"/>
  <c r="CF253" i="2" s="1"/>
  <c r="CG253" i="2" s="1"/>
  <c r="CI253" i="2" s="1"/>
  <c r="AN254" i="2"/>
  <c r="AN255" i="2"/>
  <c r="CF255" i="2" s="1"/>
  <c r="CG255" i="2" s="1"/>
  <c r="CI255" i="2" s="1"/>
  <c r="AN256" i="2"/>
  <c r="CF256" i="2" s="1"/>
  <c r="CG256" i="2" s="1"/>
  <c r="CI256" i="2" s="1"/>
  <c r="AN257" i="2"/>
  <c r="CF257" i="2" s="1"/>
  <c r="CG257" i="2" s="1"/>
  <c r="CI257" i="2" s="1"/>
  <c r="AN258" i="2"/>
  <c r="CF258" i="2" s="1"/>
  <c r="CG258" i="2" s="1"/>
  <c r="CI258" i="2" s="1"/>
  <c r="AN259" i="2"/>
  <c r="CF259" i="2" s="1"/>
  <c r="CG259" i="2" s="1"/>
  <c r="CI259" i="2" s="1"/>
  <c r="AN260" i="2"/>
  <c r="CF260" i="2" s="1"/>
  <c r="CG260" i="2" s="1"/>
  <c r="CI260" i="2" s="1"/>
  <c r="AN261" i="2"/>
  <c r="CF261" i="2" s="1"/>
  <c r="CG261" i="2" s="1"/>
  <c r="CI261" i="2" s="1"/>
  <c r="AN262" i="2"/>
  <c r="AN263" i="2"/>
  <c r="CF263" i="2" s="1"/>
  <c r="CG263" i="2" s="1"/>
  <c r="CI263" i="2" s="1"/>
  <c r="AN264" i="2"/>
  <c r="CF264" i="2" s="1"/>
  <c r="CG264" i="2" s="1"/>
  <c r="CI264" i="2" s="1"/>
  <c r="AN265" i="2"/>
  <c r="CF265" i="2" s="1"/>
  <c r="CG265" i="2" s="1"/>
  <c r="CI265" i="2" s="1"/>
  <c r="AN266" i="2"/>
  <c r="CF266" i="2" s="1"/>
  <c r="CG266" i="2" s="1"/>
  <c r="CI266" i="2" s="1"/>
  <c r="AN267" i="2"/>
  <c r="CF267" i="2" s="1"/>
  <c r="CG267" i="2" s="1"/>
  <c r="CI267" i="2" s="1"/>
  <c r="AN268" i="2"/>
  <c r="CF268" i="2" s="1"/>
  <c r="CG268" i="2" s="1"/>
  <c r="CI268" i="2" s="1"/>
  <c r="AN269" i="2"/>
  <c r="CF269" i="2" s="1"/>
  <c r="CG269" i="2" s="1"/>
  <c r="CI269" i="2" s="1"/>
  <c r="AN270" i="2"/>
  <c r="AN271" i="2"/>
  <c r="CF271" i="2" s="1"/>
  <c r="CG271" i="2" s="1"/>
  <c r="CI271" i="2" s="1"/>
  <c r="AN272" i="2"/>
  <c r="CF272" i="2" s="1"/>
  <c r="CG272" i="2" s="1"/>
  <c r="CI272" i="2" s="1"/>
  <c r="AN273" i="2"/>
  <c r="CF273" i="2" s="1"/>
  <c r="CG273" i="2" s="1"/>
  <c r="CI273" i="2" s="1"/>
  <c r="AN274" i="2"/>
  <c r="CF274" i="2" s="1"/>
  <c r="CG274" i="2" s="1"/>
  <c r="CI274" i="2" s="1"/>
  <c r="AN275" i="2"/>
  <c r="CF275" i="2" s="1"/>
  <c r="CG275" i="2" s="1"/>
  <c r="CI275" i="2" s="1"/>
  <c r="AN276" i="2"/>
  <c r="CF276" i="2" s="1"/>
  <c r="CG276" i="2" s="1"/>
  <c r="CI276" i="2" s="1"/>
  <c r="AN277" i="2"/>
  <c r="CF277" i="2" s="1"/>
  <c r="CG277" i="2" s="1"/>
  <c r="CI277" i="2" s="1"/>
  <c r="AN278" i="2"/>
  <c r="AN279" i="2"/>
  <c r="CF279" i="2" s="1"/>
  <c r="CG279" i="2" s="1"/>
  <c r="CI279" i="2" s="1"/>
  <c r="AN280" i="2"/>
  <c r="CF280" i="2" s="1"/>
  <c r="CG280" i="2" s="1"/>
  <c r="CI280" i="2" s="1"/>
  <c r="AN281" i="2"/>
  <c r="CF281" i="2" s="1"/>
  <c r="CG281" i="2" s="1"/>
  <c r="CI281" i="2" s="1"/>
  <c r="AN282" i="2"/>
  <c r="CF282" i="2" s="1"/>
  <c r="CG282" i="2" s="1"/>
  <c r="CI282" i="2" s="1"/>
  <c r="AN283" i="2"/>
  <c r="CF283" i="2" s="1"/>
  <c r="CG283" i="2" s="1"/>
  <c r="CI283" i="2" s="1"/>
  <c r="AN284" i="2"/>
  <c r="CF284" i="2" s="1"/>
  <c r="CG284" i="2" s="1"/>
  <c r="CI284" i="2" s="1"/>
  <c r="AN285" i="2"/>
  <c r="CF285" i="2" s="1"/>
  <c r="CG285" i="2" s="1"/>
  <c r="CI285" i="2" s="1"/>
  <c r="AN286" i="2"/>
  <c r="AN287" i="2"/>
  <c r="CF287" i="2" s="1"/>
  <c r="CG287" i="2" s="1"/>
  <c r="CI287" i="2" s="1"/>
  <c r="AN288" i="2"/>
  <c r="CF288" i="2" s="1"/>
  <c r="CG288" i="2" s="1"/>
  <c r="CI288" i="2" s="1"/>
  <c r="AN289" i="2"/>
  <c r="CF289" i="2" s="1"/>
  <c r="CG289" i="2" s="1"/>
  <c r="CI289" i="2" s="1"/>
  <c r="AN290" i="2"/>
  <c r="CF290" i="2" s="1"/>
  <c r="CG290" i="2" s="1"/>
  <c r="CI290" i="2" s="1"/>
  <c r="AN291" i="2"/>
  <c r="CF291" i="2" s="1"/>
  <c r="CG291" i="2" s="1"/>
  <c r="CI291" i="2" s="1"/>
  <c r="AN292" i="2"/>
  <c r="CF292" i="2" s="1"/>
  <c r="CG292" i="2" s="1"/>
  <c r="CI292" i="2" s="1"/>
  <c r="AN293" i="2"/>
  <c r="CF293" i="2" s="1"/>
  <c r="CG293" i="2" s="1"/>
  <c r="CI293" i="2" s="1"/>
  <c r="AN294" i="2"/>
  <c r="AN295" i="2"/>
  <c r="CF295" i="2" s="1"/>
  <c r="CG295" i="2" s="1"/>
  <c r="CI295" i="2" s="1"/>
  <c r="AN296" i="2"/>
  <c r="CF296" i="2" s="1"/>
  <c r="CG296" i="2" s="1"/>
  <c r="CI296" i="2" s="1"/>
  <c r="AN297" i="2"/>
  <c r="CF297" i="2" s="1"/>
  <c r="CG297" i="2" s="1"/>
  <c r="CI297" i="2" s="1"/>
  <c r="AN298" i="2"/>
  <c r="CF298" i="2" s="1"/>
  <c r="CG298" i="2" s="1"/>
  <c r="CI298" i="2" s="1"/>
  <c r="AN299" i="2"/>
  <c r="CF299" i="2" s="1"/>
  <c r="CG299" i="2" s="1"/>
  <c r="CI299" i="2" s="1"/>
  <c r="AN300" i="2"/>
  <c r="CF300" i="2" s="1"/>
  <c r="CG300" i="2" s="1"/>
  <c r="CI300" i="2" s="1"/>
  <c r="AN301" i="2"/>
  <c r="CF301" i="2" s="1"/>
  <c r="CG301" i="2" s="1"/>
  <c r="CI301" i="2" s="1"/>
  <c r="AN302" i="2"/>
  <c r="AN303" i="2"/>
  <c r="CF303" i="2" s="1"/>
  <c r="CG303" i="2" s="1"/>
  <c r="CI303" i="2" s="1"/>
  <c r="AN304" i="2"/>
  <c r="CF304" i="2" s="1"/>
  <c r="CG304" i="2" s="1"/>
  <c r="CI304" i="2" s="1"/>
  <c r="AN305" i="2"/>
  <c r="CF305" i="2" s="1"/>
  <c r="CG305" i="2" s="1"/>
  <c r="CI305" i="2" s="1"/>
  <c r="AN306" i="2"/>
  <c r="CF306" i="2" s="1"/>
  <c r="CG306" i="2" s="1"/>
  <c r="CI306" i="2" s="1"/>
  <c r="AN307" i="2"/>
  <c r="CF307" i="2" s="1"/>
  <c r="CG307" i="2" s="1"/>
  <c r="CI307" i="2" s="1"/>
  <c r="AN308" i="2"/>
  <c r="CF308" i="2" s="1"/>
  <c r="CG308" i="2" s="1"/>
  <c r="CI308" i="2" s="1"/>
  <c r="AN309" i="2"/>
  <c r="CF309" i="2" s="1"/>
  <c r="CG309" i="2" s="1"/>
  <c r="CI309" i="2" s="1"/>
  <c r="AN310" i="2"/>
  <c r="AN311" i="2"/>
  <c r="CF311" i="2" s="1"/>
  <c r="CG311" i="2" s="1"/>
  <c r="CI311" i="2" s="1"/>
  <c r="AN312" i="2"/>
  <c r="CF312" i="2" s="1"/>
  <c r="CG312" i="2" s="1"/>
  <c r="CI312" i="2" s="1"/>
  <c r="AN313" i="2"/>
  <c r="CF313" i="2" s="1"/>
  <c r="CG313" i="2" s="1"/>
  <c r="CI313" i="2" s="1"/>
  <c r="AN314" i="2"/>
  <c r="CF314" i="2" s="1"/>
  <c r="CG314" i="2" s="1"/>
  <c r="CI314" i="2" s="1"/>
  <c r="AN315" i="2"/>
  <c r="CF315" i="2" s="1"/>
  <c r="CG315" i="2" s="1"/>
  <c r="CI315" i="2" s="1"/>
  <c r="AN316" i="2"/>
  <c r="CF316" i="2" s="1"/>
  <c r="CG316" i="2" s="1"/>
  <c r="CI316" i="2" s="1"/>
  <c r="AN317" i="2"/>
  <c r="CF317" i="2" s="1"/>
  <c r="CG317" i="2" s="1"/>
  <c r="CI317" i="2" s="1"/>
  <c r="AN318" i="2"/>
  <c r="AN319" i="2"/>
  <c r="CF319" i="2" s="1"/>
  <c r="CG319" i="2" s="1"/>
  <c r="CI319" i="2" s="1"/>
  <c r="AN320" i="2"/>
  <c r="CF320" i="2" s="1"/>
  <c r="CG320" i="2" s="1"/>
  <c r="CI320" i="2" s="1"/>
  <c r="AN321" i="2"/>
  <c r="CF321" i="2" s="1"/>
  <c r="CG321" i="2" s="1"/>
  <c r="CI321" i="2" s="1"/>
  <c r="AN322" i="2"/>
  <c r="CF322" i="2" s="1"/>
  <c r="CG322" i="2" s="1"/>
  <c r="CI322" i="2" s="1"/>
  <c r="CF79" i="2" l="1"/>
  <c r="CG79" i="2" s="1"/>
  <c r="CI79" i="2" s="1"/>
  <c r="CF87" i="2"/>
  <c r="CG87" i="2" s="1"/>
  <c r="CI87" i="2" s="1"/>
  <c r="CF88" i="2"/>
  <c r="CG88" i="2" s="1"/>
  <c r="CI88" i="2" s="1"/>
  <c r="CF71" i="2"/>
  <c r="CG71" i="2" s="1"/>
  <c r="CI71" i="2" s="1"/>
  <c r="CF72" i="2"/>
  <c r="CG72" i="2" s="1"/>
  <c r="CI72" i="2" s="1"/>
  <c r="CF80" i="2"/>
  <c r="CG80" i="2" s="1"/>
  <c r="CI80" i="2" s="1"/>
  <c r="CF108" i="2"/>
  <c r="CG108" i="2" s="1"/>
  <c r="CI108" i="2" s="1"/>
  <c r="CF48" i="2"/>
  <c r="CG48" i="2" s="1"/>
  <c r="CI48" i="2" s="1"/>
  <c r="CF107" i="2"/>
  <c r="CG107" i="2" s="1"/>
  <c r="CI107" i="2" s="1"/>
  <c r="CF106" i="2"/>
  <c r="CG106" i="2" s="1"/>
  <c r="CI106" i="2" s="1"/>
  <c r="CF105" i="2"/>
  <c r="CG105" i="2" s="1"/>
  <c r="CI105" i="2" s="1"/>
  <c r="CF104" i="2"/>
  <c r="CG104" i="2" s="1"/>
  <c r="CI104" i="2" s="1"/>
  <c r="CF103" i="2"/>
  <c r="CG103" i="2" s="1"/>
  <c r="CI103" i="2" s="1"/>
  <c r="CF101" i="2"/>
  <c r="CG101" i="2" s="1"/>
  <c r="CI101" i="2" s="1"/>
  <c r="CF100" i="2"/>
  <c r="CG100" i="2" s="1"/>
  <c r="CI100" i="2" s="1"/>
  <c r="CF99" i="2"/>
  <c r="CG99" i="2" s="1"/>
  <c r="CI99" i="2" s="1"/>
  <c r="CF98" i="2"/>
  <c r="CG98" i="2" s="1"/>
  <c r="CI98" i="2" s="1"/>
  <c r="CF97" i="2"/>
  <c r="CG97" i="2" s="1"/>
  <c r="CI97" i="2" s="1"/>
  <c r="CF96" i="2"/>
  <c r="CG96" i="2" s="1"/>
  <c r="CI96" i="2" s="1"/>
  <c r="CF95" i="2"/>
  <c r="CG95" i="2" s="1"/>
  <c r="CI95" i="2" s="1"/>
  <c r="CF93" i="2"/>
  <c r="CG93" i="2" s="1"/>
  <c r="CI93" i="2" s="1"/>
  <c r="CF92" i="2"/>
  <c r="CG92" i="2" s="1"/>
  <c r="CI92" i="2" s="1"/>
  <c r="CF63" i="2"/>
  <c r="CG63" i="2" s="1"/>
  <c r="CI63" i="2" s="1"/>
  <c r="CF64" i="2"/>
  <c r="CG64" i="2" s="1"/>
  <c r="CI64" i="2" s="1"/>
  <c r="CF56" i="2"/>
  <c r="CG56" i="2" s="1"/>
  <c r="CI56" i="2" s="1"/>
  <c r="CF55" i="2"/>
  <c r="CG55" i="2" s="1"/>
  <c r="CI55" i="2" s="1"/>
  <c r="CF47" i="2"/>
  <c r="CG47" i="2" s="1"/>
  <c r="CI47" i="2" s="1"/>
  <c r="CF41" i="2"/>
  <c r="CG41" i="2" s="1"/>
  <c r="CI41" i="2" s="1"/>
  <c r="CF40" i="2"/>
  <c r="CG40" i="2" s="1"/>
  <c r="CI40" i="2" s="1"/>
  <c r="CF39" i="2"/>
  <c r="CG39" i="2" s="1"/>
  <c r="CI39" i="2" s="1"/>
  <c r="CF33" i="2"/>
  <c r="CG33" i="2" s="1"/>
  <c r="CI33" i="2" s="1"/>
  <c r="CF32" i="2"/>
  <c r="CG32" i="2" s="1"/>
  <c r="CI32" i="2" s="1"/>
  <c r="CF31" i="2"/>
  <c r="CG31" i="2" s="1"/>
  <c r="CI31" i="2" s="1"/>
  <c r="CF24" i="2"/>
  <c r="CG24" i="2" s="1"/>
  <c r="CI24" i="2" s="1"/>
  <c r="CF53" i="2"/>
  <c r="CG53" i="2" s="1"/>
  <c r="CI53" i="2" s="1"/>
  <c r="CF69" i="2"/>
  <c r="CG69" i="2" s="1"/>
  <c r="CI69" i="2" s="1"/>
  <c r="CF45" i="2"/>
  <c r="CG45" i="2" s="1"/>
  <c r="CI45" i="2" s="1"/>
  <c r="CF44" i="2"/>
  <c r="CG44" i="2" s="1"/>
  <c r="CI44" i="2" s="1"/>
  <c r="CF29" i="2"/>
  <c r="CG29" i="2" s="1"/>
  <c r="CI29" i="2" s="1"/>
  <c r="CF85" i="2"/>
  <c r="CG85" i="2" s="1"/>
  <c r="CI85" i="2" s="1"/>
  <c r="CF77" i="2"/>
  <c r="CG77" i="2" s="1"/>
  <c r="CI77" i="2" s="1"/>
  <c r="CF61" i="2"/>
  <c r="CG61" i="2" s="1"/>
  <c r="CI61" i="2" s="1"/>
  <c r="CF37" i="2"/>
  <c r="CG37" i="2" s="1"/>
  <c r="CI37" i="2" s="1"/>
  <c r="CF36" i="2"/>
  <c r="CG36" i="2" s="1"/>
  <c r="CI36" i="2" s="1"/>
  <c r="CF91" i="2"/>
  <c r="CG91" i="2" s="1"/>
  <c r="CI91" i="2" s="1"/>
  <c r="CF43" i="2"/>
  <c r="CG43" i="2" s="1"/>
  <c r="CI43" i="2" s="1"/>
  <c r="CF35" i="2"/>
  <c r="CG35" i="2" s="1"/>
  <c r="CI35" i="2" s="1"/>
  <c r="CF90" i="2"/>
  <c r="CG90" i="2" s="1"/>
  <c r="CI90" i="2" s="1"/>
  <c r="CF42" i="2"/>
  <c r="CG42" i="2" s="1"/>
  <c r="CI42" i="2" s="1"/>
  <c r="CF34" i="2"/>
  <c r="CG34" i="2" s="1"/>
  <c r="CI34" i="2" s="1"/>
  <c r="CF68" i="2"/>
  <c r="CG68" i="2" s="1"/>
  <c r="CI68" i="2" s="1"/>
  <c r="CF76" i="2"/>
  <c r="CG76" i="2" s="1"/>
  <c r="CI76" i="2" s="1"/>
  <c r="CF75" i="2"/>
  <c r="CG75" i="2" s="1"/>
  <c r="CI75" i="2" s="1"/>
  <c r="CF59" i="2"/>
  <c r="CG59" i="2" s="1"/>
  <c r="CI59" i="2" s="1"/>
  <c r="CF51" i="2"/>
  <c r="CG51" i="2" s="1"/>
  <c r="CI51" i="2" s="1"/>
  <c r="CF60" i="2"/>
  <c r="CG60" i="2" s="1"/>
  <c r="CI60" i="2" s="1"/>
  <c r="CF74" i="2"/>
  <c r="CG74" i="2" s="1"/>
  <c r="CI74" i="2" s="1"/>
  <c r="CF84" i="2"/>
  <c r="CG84" i="2" s="1"/>
  <c r="CI84" i="2" s="1"/>
  <c r="CF52" i="2"/>
  <c r="CG52" i="2" s="1"/>
  <c r="CI52" i="2" s="1"/>
  <c r="CF83" i="2"/>
  <c r="CG83" i="2" s="1"/>
  <c r="CI83" i="2" s="1"/>
  <c r="CF67" i="2"/>
  <c r="CG67" i="2" s="1"/>
  <c r="CI67" i="2" s="1"/>
  <c r="CF82" i="2"/>
  <c r="CG82" i="2" s="1"/>
  <c r="CI82" i="2" s="1"/>
  <c r="CF66" i="2"/>
  <c r="CG66" i="2" s="1"/>
  <c r="CI66" i="2" s="1"/>
  <c r="CF58" i="2"/>
  <c r="CG58" i="2" s="1"/>
  <c r="CI58" i="2" s="1"/>
  <c r="CF50" i="2"/>
  <c r="CG50" i="2" s="1"/>
  <c r="CI50" i="2" s="1"/>
  <c r="CF89" i="2"/>
  <c r="CG89" i="2" s="1"/>
  <c r="CI89" i="2" s="1"/>
  <c r="CF81" i="2"/>
  <c r="CG81" i="2" s="1"/>
  <c r="CI81" i="2" s="1"/>
  <c r="CF73" i="2"/>
  <c r="CG73" i="2" s="1"/>
  <c r="CI73" i="2" s="1"/>
  <c r="CF65" i="2"/>
  <c r="CG65" i="2" s="1"/>
  <c r="CI65" i="2" s="1"/>
  <c r="CF57" i="2"/>
  <c r="CG57" i="2" s="1"/>
  <c r="CI57" i="2" s="1"/>
  <c r="CF49" i="2"/>
  <c r="CG49" i="2" s="1"/>
  <c r="CI49" i="2" s="1"/>
  <c r="CF28" i="2"/>
  <c r="CG28" i="2" s="1"/>
  <c r="CI28" i="2" s="1"/>
  <c r="CF27" i="2"/>
  <c r="CG27" i="2" s="1"/>
  <c r="CI27" i="2" s="1"/>
  <c r="CF26" i="2"/>
  <c r="CG26" i="2" s="1"/>
  <c r="CI26" i="2" s="1"/>
  <c r="CF25" i="2"/>
  <c r="CG25" i="2" s="1"/>
  <c r="CI25" i="2" s="1"/>
  <c r="CF318" i="2"/>
  <c r="CG318" i="2" s="1"/>
  <c r="CI318" i="2" s="1"/>
  <c r="CF310" i="2"/>
  <c r="CG310" i="2" s="1"/>
  <c r="CI310" i="2" s="1"/>
  <c r="CF302" i="2"/>
  <c r="CG302" i="2" s="1"/>
  <c r="CI302" i="2" s="1"/>
  <c r="CF294" i="2"/>
  <c r="CG294" i="2" s="1"/>
  <c r="CI294" i="2" s="1"/>
  <c r="CF286" i="2"/>
  <c r="CG286" i="2" s="1"/>
  <c r="CI286" i="2" s="1"/>
  <c r="CF278" i="2"/>
  <c r="CG278" i="2" s="1"/>
  <c r="CI278" i="2" s="1"/>
  <c r="CF270" i="2"/>
  <c r="CG270" i="2" s="1"/>
  <c r="CI270" i="2" s="1"/>
  <c r="CF262" i="2"/>
  <c r="CG262" i="2" s="1"/>
  <c r="CI262" i="2" s="1"/>
  <c r="CF254" i="2"/>
  <c r="CG254" i="2" s="1"/>
  <c r="CI254" i="2" s="1"/>
  <c r="CF246" i="2"/>
  <c r="CG246" i="2" s="1"/>
  <c r="CI246" i="2" s="1"/>
  <c r="CF238" i="2"/>
  <c r="CG238" i="2" s="1"/>
  <c r="CI238" i="2" s="1"/>
  <c r="CF230" i="2"/>
  <c r="CG230" i="2" s="1"/>
  <c r="CI230" i="2" s="1"/>
  <c r="CF222" i="2"/>
  <c r="CG222" i="2" s="1"/>
  <c r="CI222" i="2" s="1"/>
  <c r="CF214" i="2"/>
  <c r="CG214" i="2" s="1"/>
  <c r="CI214" i="2" s="1"/>
  <c r="CF206" i="2"/>
  <c r="CG206" i="2" s="1"/>
  <c r="CI206" i="2" s="1"/>
  <c r="CF198" i="2"/>
  <c r="CG198" i="2" s="1"/>
  <c r="CI198" i="2" s="1"/>
  <c r="CF190" i="2"/>
  <c r="CG190" i="2" s="1"/>
  <c r="CI190" i="2" s="1"/>
  <c r="CF182" i="2"/>
  <c r="CG182" i="2" s="1"/>
  <c r="CI182" i="2" s="1"/>
  <c r="CF174" i="2"/>
  <c r="CG174" i="2" s="1"/>
  <c r="CI174" i="2" s="1"/>
  <c r="CF166" i="2"/>
  <c r="CG166" i="2" s="1"/>
  <c r="CI166" i="2" s="1"/>
  <c r="CF158" i="2"/>
  <c r="CG158" i="2" s="1"/>
  <c r="CI158" i="2" s="1"/>
  <c r="CF150" i="2"/>
  <c r="CG150" i="2" s="1"/>
  <c r="CI150" i="2" s="1"/>
  <c r="CF142" i="2"/>
  <c r="CG142" i="2" s="1"/>
  <c r="CI142" i="2" s="1"/>
  <c r="CF134" i="2"/>
  <c r="CG134" i="2" s="1"/>
  <c r="CI134" i="2" s="1"/>
  <c r="CF126" i="2"/>
  <c r="CG126" i="2" s="1"/>
  <c r="CI126" i="2" s="1"/>
  <c r="CF118" i="2"/>
  <c r="CG118" i="2" s="1"/>
  <c r="CI118" i="2" s="1"/>
  <c r="CF110" i="2"/>
  <c r="CG110" i="2" s="1"/>
  <c r="CI110" i="2" s="1"/>
  <c r="CF102" i="2"/>
  <c r="CG102" i="2" s="1"/>
  <c r="CI102" i="2" s="1"/>
  <c r="CF94" i="2"/>
  <c r="CG94" i="2" s="1"/>
  <c r="CI94" i="2" s="1"/>
  <c r="CF86" i="2"/>
  <c r="CG86" i="2" s="1"/>
  <c r="CI86" i="2" s="1"/>
  <c r="CF78" i="2"/>
  <c r="CG78" i="2" s="1"/>
  <c r="CI78" i="2" s="1"/>
  <c r="CF70" i="2"/>
  <c r="CG70" i="2" s="1"/>
  <c r="CI70" i="2" s="1"/>
  <c r="CF62" i="2"/>
  <c r="CG62" i="2" s="1"/>
  <c r="CI62" i="2" s="1"/>
  <c r="CF54" i="2"/>
  <c r="CG54" i="2" s="1"/>
  <c r="CI54" i="2" s="1"/>
  <c r="CF46" i="2"/>
  <c r="CG46" i="2" s="1"/>
  <c r="CI46" i="2" s="1"/>
  <c r="CF38" i="2"/>
  <c r="CG38" i="2" s="1"/>
  <c r="CI38" i="2" s="1"/>
  <c r="CF30" i="2"/>
  <c r="CG30" i="2" s="1"/>
  <c r="CI30" i="2" s="1"/>
</calcChain>
</file>

<file path=xl/sharedStrings.xml><?xml version="1.0" encoding="utf-8"?>
<sst xmlns="http://schemas.openxmlformats.org/spreadsheetml/2006/main" count="740" uniqueCount="173">
  <si>
    <t>212 , MATHEMATICS Paper 1 &amp; 2</t>
  </si>
  <si>
    <t>READ THESE INSTRUCTIONS FIRST</t>
  </si>
  <si>
    <r>
      <rPr>
        <b/>
        <sz val="20"/>
        <color indexed="10"/>
        <rFont val="Calibri"/>
        <family val="2"/>
      </rPr>
      <t>●</t>
    </r>
    <r>
      <rPr>
        <b/>
        <sz val="20"/>
        <color indexed="10"/>
        <rFont val="Arial"/>
        <family val="2"/>
      </rPr>
      <t xml:space="preserve"> PLEASE DO NOT ENTER ANY VALUES INTO COLUMNS THAT ARE IN </t>
    </r>
    <r>
      <rPr>
        <b/>
        <sz val="20"/>
        <color indexed="18"/>
        <rFont val="Arial"/>
        <family val="2"/>
      </rPr>
      <t>BLUE.</t>
    </r>
  </si>
  <si>
    <t>No</t>
  </si>
  <si>
    <t>Name of Student</t>
  </si>
  <si>
    <t>Gender</t>
  </si>
  <si>
    <t>State if student absent as (A)</t>
  </si>
  <si>
    <r>
      <t xml:space="preserve">PAPER </t>
    </r>
    <r>
      <rPr>
        <b/>
        <sz val="26"/>
        <color indexed="18"/>
        <rFont val="Arial"/>
        <family val="2"/>
      </rPr>
      <t xml:space="preserve">1                 </t>
    </r>
  </si>
  <si>
    <r>
      <t xml:space="preserve"> </t>
    </r>
    <r>
      <rPr>
        <b/>
        <sz val="26"/>
        <rFont val="Arial"/>
        <family val="2"/>
      </rPr>
      <t xml:space="preserve">               PAPER 2                           </t>
    </r>
  </si>
  <si>
    <t>Class</t>
  </si>
  <si>
    <t>QUESTIONS NUMBER</t>
  </si>
  <si>
    <t>TOTAL SPE P 1</t>
  </si>
  <si>
    <t>TOTAL SPE P2</t>
  </si>
  <si>
    <t>OVERALL TOTAL     (SPE P1+P2)</t>
  </si>
  <si>
    <t>SPE P1 + SPE P2 (%)</t>
  </si>
  <si>
    <t>SBA</t>
  </si>
  <si>
    <t>SPE + SBA = SPA</t>
  </si>
  <si>
    <t>1b</t>
  </si>
  <si>
    <t>2a</t>
  </si>
  <si>
    <t>2b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</si>
  <si>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</si>
  <si>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</si>
  <si>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</si>
  <si>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</si>
  <si>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</si>
  <si>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</si>
  <si>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</si>
  <si>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</si>
  <si>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</si>
  <si>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</si>
  <si>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</si>
  <si>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</si>
  <si>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13a</t>
  </si>
  <si>
    <t>13b</t>
  </si>
  <si>
    <t>14a</t>
  </si>
  <si>
    <t>14b</t>
  </si>
  <si>
    <t>1a</t>
  </si>
  <si>
    <t>1c</t>
  </si>
  <si>
    <t>5a</t>
  </si>
  <si>
    <t>5b</t>
  </si>
  <si>
    <t>6a</t>
  </si>
  <si>
    <t>11c</t>
  </si>
  <si>
    <t>12b</t>
  </si>
  <si>
    <t>2c</t>
  </si>
  <si>
    <t>2d</t>
  </si>
  <si>
    <t>NAMA MAKTAB/SEKOLAH:</t>
  </si>
  <si>
    <t>Jumlah calon di sekolah:</t>
  </si>
  <si>
    <t>212 MATHEMATICS</t>
  </si>
  <si>
    <t>SPE  2025</t>
  </si>
  <si>
    <t>SPE 2025</t>
  </si>
  <si>
    <t>5c</t>
  </si>
  <si>
    <t>5d</t>
  </si>
  <si>
    <t>10c</t>
  </si>
  <si>
    <t>11ai</t>
  </si>
  <si>
    <t>11aii</t>
  </si>
  <si>
    <t>15a</t>
  </si>
  <si>
    <t>15b</t>
  </si>
  <si>
    <t>16a</t>
  </si>
  <si>
    <t>16b</t>
  </si>
  <si>
    <t>17a</t>
  </si>
  <si>
    <t>17b</t>
  </si>
  <si>
    <t>4a</t>
  </si>
  <si>
    <t>4b</t>
  </si>
  <si>
    <t>5ai</t>
  </si>
  <si>
    <t>5aii</t>
  </si>
  <si>
    <t>7c</t>
  </si>
  <si>
    <t>8c</t>
  </si>
  <si>
    <t>10d</t>
  </si>
  <si>
    <t>13ci</t>
  </si>
  <si>
    <t>13cii</t>
  </si>
  <si>
    <t>140 marks</t>
  </si>
  <si>
    <r>
      <t>●</t>
    </r>
    <r>
      <rPr>
        <sz val="14"/>
        <rFont val="Arial"/>
        <family val="2"/>
      </rPr>
      <t xml:space="preserve">  Enter your</t>
    </r>
    <r>
      <rPr>
        <b/>
        <i/>
        <sz val="14"/>
        <rFont val="Arial"/>
        <family val="2"/>
      </rPr>
      <t xml:space="preserve"> School Name </t>
    </r>
    <r>
      <rPr>
        <sz val="14"/>
        <rFont val="Arial"/>
        <family val="2"/>
      </rPr>
      <t xml:space="preserve">and </t>
    </r>
    <r>
      <rPr>
        <b/>
        <i/>
        <sz val="14"/>
        <rFont val="Arial"/>
        <family val="2"/>
      </rPr>
      <t xml:space="preserve"> Student's name.</t>
    </r>
    <r>
      <rPr>
        <sz val="14"/>
        <rFont val="Arial"/>
        <family val="2"/>
      </rPr>
      <t xml:space="preserve"> Under the column </t>
    </r>
    <r>
      <rPr>
        <b/>
        <i/>
        <sz val="14"/>
        <rFont val="Arial"/>
        <family val="2"/>
      </rPr>
      <t>Gender,</t>
    </r>
    <r>
      <rPr>
        <sz val="14"/>
        <rFont val="Arial"/>
        <family val="2"/>
      </rPr>
      <t xml:space="preserve"> enter </t>
    </r>
    <r>
      <rPr>
        <b/>
        <sz val="14"/>
        <rFont val="Arial"/>
        <family val="2"/>
      </rPr>
      <t>M</t>
    </r>
    <r>
      <rPr>
        <b/>
        <i/>
        <sz val="14"/>
        <rFont val="Arial"/>
        <family val="2"/>
      </rPr>
      <t xml:space="preserve"> </t>
    </r>
    <r>
      <rPr>
        <sz val="14"/>
        <rFont val="Arial"/>
        <family val="2"/>
      </rPr>
      <t xml:space="preserve">for </t>
    </r>
    <r>
      <rPr>
        <b/>
        <i/>
        <sz val="14"/>
        <rFont val="Arial"/>
        <family val="2"/>
      </rPr>
      <t xml:space="preserve">male </t>
    </r>
    <r>
      <rPr>
        <sz val="14"/>
        <rFont val="Arial"/>
        <family val="2"/>
      </rPr>
      <t xml:space="preserve">student or </t>
    </r>
    <r>
      <rPr>
        <b/>
        <sz val="14"/>
        <rFont val="Arial"/>
        <family val="2"/>
      </rPr>
      <t>F</t>
    </r>
    <r>
      <rPr>
        <b/>
        <i/>
        <sz val="14"/>
        <rFont val="Arial"/>
        <family val="2"/>
      </rPr>
      <t xml:space="preserve"> </t>
    </r>
    <r>
      <rPr>
        <sz val="14"/>
        <rFont val="Arial"/>
        <family val="2"/>
      </rPr>
      <t xml:space="preserve">for </t>
    </r>
    <r>
      <rPr>
        <b/>
        <i/>
        <sz val="14"/>
        <rFont val="Arial"/>
        <family val="2"/>
      </rPr>
      <t xml:space="preserve">female </t>
    </r>
    <r>
      <rPr>
        <sz val="14"/>
        <rFont val="Arial"/>
        <family val="2"/>
      </rPr>
      <t>student.</t>
    </r>
  </si>
  <si>
    <r>
      <t>●  Enter</t>
    </r>
    <r>
      <rPr>
        <b/>
        <i/>
        <sz val="14"/>
        <rFont val="Arial"/>
        <family val="2"/>
      </rPr>
      <t xml:space="preserve"> each student's mark </t>
    </r>
    <r>
      <rPr>
        <sz val="14"/>
        <rFont val="Arial"/>
        <family val="2"/>
      </rPr>
      <t xml:space="preserve">awarded for each question in both Paper 1 and Paper 2. </t>
    </r>
  </si>
  <si>
    <r>
      <rPr>
        <sz val="14"/>
        <rFont val="Calibri"/>
        <family val="2"/>
      </rPr>
      <t>●</t>
    </r>
    <r>
      <rPr>
        <sz val="14"/>
        <rFont val="Arial"/>
        <family val="2"/>
      </rPr>
      <t xml:space="preserve"> If  a student</t>
    </r>
    <r>
      <rPr>
        <i/>
        <sz val="14"/>
        <rFont val="Arial"/>
        <family val="2"/>
      </rPr>
      <t xml:space="preserve"> </t>
    </r>
    <r>
      <rPr>
        <b/>
        <i/>
        <sz val="14"/>
        <rFont val="Arial"/>
        <family val="2"/>
      </rPr>
      <t>did not attempt</t>
    </r>
    <r>
      <rPr>
        <sz val="14"/>
        <rFont val="Arial"/>
        <family val="2"/>
      </rPr>
      <t xml:space="preserve"> a question (i.e., did not write down any answer / blank for that question),  please enter</t>
    </r>
    <r>
      <rPr>
        <b/>
        <sz val="14"/>
        <rFont val="Arial"/>
        <family val="2"/>
      </rPr>
      <t xml:space="preserve"> X </t>
    </r>
    <r>
      <rPr>
        <sz val="14"/>
        <rFont val="Arial"/>
        <family val="2"/>
      </rPr>
      <t xml:space="preserve"> in the box  for that question. </t>
    </r>
  </si>
  <si>
    <r>
      <rPr>
        <sz val="14"/>
        <rFont val="Calibri"/>
        <family val="2"/>
      </rPr>
      <t>●</t>
    </r>
    <r>
      <rPr>
        <sz val="14"/>
        <rFont val="Arial"/>
        <family val="2"/>
      </rPr>
      <t xml:space="preserve"> If a student was</t>
    </r>
    <r>
      <rPr>
        <b/>
        <sz val="14"/>
        <rFont val="Arial"/>
        <family val="2"/>
      </rPr>
      <t xml:space="preserve"> absent</t>
    </r>
    <r>
      <rPr>
        <sz val="14"/>
        <rFont val="Arial"/>
        <family val="2"/>
      </rPr>
      <t xml:space="preserve">, please write down </t>
    </r>
    <r>
      <rPr>
        <b/>
        <sz val="14"/>
        <rFont val="Arial"/>
        <family val="2"/>
      </rPr>
      <t>A</t>
    </r>
    <r>
      <rPr>
        <sz val="14"/>
        <rFont val="Arial"/>
        <family val="2"/>
      </rPr>
      <t xml:space="preserve"> in the appropriate column.  If the student was</t>
    </r>
    <r>
      <rPr>
        <b/>
        <sz val="14"/>
        <rFont val="Arial"/>
        <family val="2"/>
      </rPr>
      <t xml:space="preserve"> absent for a particular paper</t>
    </r>
    <r>
      <rPr>
        <sz val="14"/>
        <rFont val="Arial"/>
        <family val="2"/>
      </rPr>
      <t xml:space="preserve">, please fill in their marks where appropriate. </t>
    </r>
  </si>
  <si>
    <r>
      <t>●  Enter</t>
    </r>
    <r>
      <rPr>
        <b/>
        <sz val="14"/>
        <rFont val="Arial"/>
        <family val="2"/>
      </rPr>
      <t xml:space="preserve">  </t>
    </r>
    <r>
      <rPr>
        <b/>
        <i/>
        <sz val="14"/>
        <rFont val="Arial"/>
        <family val="2"/>
      </rPr>
      <t>ALL</t>
    </r>
    <r>
      <rPr>
        <i/>
        <sz val="14"/>
        <rFont val="Arial"/>
        <family val="2"/>
      </rPr>
      <t xml:space="preserve"> </t>
    </r>
    <r>
      <rPr>
        <sz val="14"/>
        <rFont val="Arial"/>
        <family val="2"/>
      </rPr>
      <t>of your students' answer scripts.</t>
    </r>
  </si>
  <si>
    <r>
      <t xml:space="preserve">●  </t>
    </r>
    <r>
      <rPr>
        <b/>
        <i/>
        <sz val="14"/>
        <rFont val="Arial"/>
        <family val="2"/>
      </rPr>
      <t>Completed data</t>
    </r>
    <r>
      <rPr>
        <sz val="14"/>
        <rFont val="Arial"/>
        <family val="2"/>
      </rPr>
      <t xml:space="preserve"> for the</t>
    </r>
    <r>
      <rPr>
        <b/>
        <i/>
        <sz val="14"/>
        <rFont val="Arial"/>
        <family val="2"/>
      </rPr>
      <t xml:space="preserve"> whole school </t>
    </r>
    <r>
      <rPr>
        <sz val="14"/>
        <rFont val="Arial"/>
        <family val="2"/>
      </rPr>
      <t xml:space="preserve"> must  be sent to the Exams Department in softcopy saved in a CD or </t>
    </r>
  </si>
  <si>
    <r>
      <t xml:space="preserve">    emailed to:  </t>
    </r>
    <r>
      <rPr>
        <b/>
        <sz val="14"/>
        <rFont val="Arial"/>
        <family val="2"/>
      </rPr>
      <t xml:space="preserve">suryani.alihuddin@moe.gov.bn, </t>
    </r>
    <r>
      <rPr>
        <sz val="14"/>
        <rFont val="Arial"/>
        <family val="2"/>
      </rPr>
      <t xml:space="preserve"> on or before</t>
    </r>
    <r>
      <rPr>
        <b/>
        <sz val="14"/>
        <rFont val="Arial"/>
        <family val="2"/>
      </rPr>
      <t xml:space="preserve"> </t>
    </r>
    <r>
      <rPr>
        <b/>
        <i/>
        <u/>
        <sz val="14"/>
        <rFont val="Arial"/>
        <family val="2"/>
      </rPr>
      <t>20th November 2025</t>
    </r>
    <r>
      <rPr>
        <sz val="14"/>
        <rFont val="Arial"/>
        <family val="2"/>
      </rPr>
      <t>.  Hardcopy is</t>
    </r>
    <r>
      <rPr>
        <b/>
        <sz val="14"/>
        <rFont val="Arial"/>
        <family val="2"/>
      </rPr>
      <t xml:space="preserve"> </t>
    </r>
    <r>
      <rPr>
        <b/>
        <i/>
        <sz val="14"/>
        <rFont val="Arial"/>
        <family val="2"/>
      </rPr>
      <t>NOT</t>
    </r>
    <r>
      <rPr>
        <sz val="14"/>
        <rFont val="Arial"/>
        <family val="2"/>
      </rPr>
      <t xml:space="preserve"> required.</t>
    </r>
  </si>
  <si>
    <t>● Should you have any enquiries, please do not hesitate to contact Cg. Elma Suryani, Telephone: 8789210(M)  or email:  suryani.alihuddin@moe.gov.bn</t>
  </si>
  <si>
    <t>17c</t>
  </si>
  <si>
    <t>Maktab Anthony Abell</t>
  </si>
  <si>
    <t>AWANGKU MUHAMAD HAZIQ HIZAMI BIN PENGIRAN MUHAMAD YUSMINAN</t>
  </si>
  <si>
    <t>JULIAN RUSDIE ANAK SITIPALUS</t>
  </si>
  <si>
    <t>KHAIRUL AIRIL DARWISH BIN ZAINAL</t>
  </si>
  <si>
    <t>MOHAMMAD AFIF BIN AZLAN</t>
  </si>
  <si>
    <t>MOHAMMAD KHAIRUL AZIM BIN ABDULLAH</t>
  </si>
  <si>
    <t>MOHAMMAD NAUFAL DARWISY BIN MOHAMMAD HAKIM</t>
  </si>
  <si>
    <t>MUHAMAD ANIQ IKHWAN BIN AZMAN</t>
  </si>
  <si>
    <t>MUHAMMAD ALIFAMIZAN BIN AMINOORASHID</t>
  </si>
  <si>
    <t>MUHAMMAD DZAKWAN WALIYYUDDIN BIN HASSANAL SERI PUSPA</t>
  </si>
  <si>
    <t>MUHAMMAD FAHREEN BIN MUHAMMAD FARIZ FADHILAH</t>
  </si>
  <si>
    <t>MUHAMMAD KHALIS IZMAN BIN MUHAMMAD KAMARUZZAMAN</t>
  </si>
  <si>
    <t>ELVINA THYANNA BINTI TIMOTHY MCCLOREYDE</t>
  </si>
  <si>
    <t>MYRA DANISHA ANAK SALIMAN</t>
  </si>
  <si>
    <t>NUR AIERYSHA ASYRANI BINTI FIRDAUS</t>
  </si>
  <si>
    <t>NUR BALQIS QAISARA BINTI MUHAMMAD FAHIMIN</t>
  </si>
  <si>
    <t>NUR IZZATI ZAFIRAH BINTI JARAYE</t>
  </si>
  <si>
    <t>NUR RAFIQAH DAMIA BINTI MOHAMAD REZAL</t>
  </si>
  <si>
    <t>NUR RAHADATUL 'AISY NADHIRA BINTI MUHAMMAD REDZUAN NICHLOS</t>
  </si>
  <si>
    <t>NUR'IZZATI BINTI BAKRI @ BALQIS</t>
  </si>
  <si>
    <t>NURHAZIRAH BINTI HAJI HAINI @ HAJI ZAINI</t>
  </si>
  <si>
    <t>RAYNA NICOLE BINTI MUHAMMAD SYAHMI</t>
  </si>
  <si>
    <t>RAYRA GAIZKA MAHREEN BINTI ABDULLAH TAN</t>
  </si>
  <si>
    <t>ABDUL MATEEN BIN SANI</t>
  </si>
  <si>
    <t>AWANGKU MUHAMAD LUQMAN YUSUF BIN PENGIRAN YAHYA</t>
  </si>
  <si>
    <t>HAIROL HASMI HAZIQ BIN ABDULLAH</t>
  </si>
  <si>
    <t>MOHAMAD ANIQ SYAFIE BIN MOHAMAD FAZLI</t>
  </si>
  <si>
    <t>MOHAMAD NUR AIMAN SYAHMI BIN MOHAMAD MARIO RAZIMAN</t>
  </si>
  <si>
    <t>MOHAMMAD ARYAN DARWISY BIN MOHAMMAD HAKIM</t>
  </si>
  <si>
    <t>MOHAMMAD DHANIELARMAN HAKIM BIN JOHAR</t>
  </si>
  <si>
    <t>MUHAMMAD AQMAR DANISH BIN ABDULLAH</t>
  </si>
  <si>
    <t>MUHAMMAD AZHARI ARIF BIN ABDULLAH</t>
  </si>
  <si>
    <t xml:space="preserve">MUHAMMAD DA'IM AL-AQIB BIN MUHAMMAD HAIKAL ZAIM </t>
  </si>
  <si>
    <t>MUHAMMAD HAFIZ ZAQUAN BIN SUFRI NOORHADI</t>
  </si>
  <si>
    <t>MUHAMMAD ZULFAHMI BIN ZAINUDID</t>
  </si>
  <si>
    <t>ERNIE QISTINA ANAK TINGGIE</t>
  </si>
  <si>
    <t>FATIN NURSYAKERAH BINTI AMIR</t>
  </si>
  <si>
    <t>NUR AZYYATI ADLINA BINTI ABDULLAH</t>
  </si>
  <si>
    <t>NUR CAHAYA RAMADHAN DIAH BINTI MOHAMMAD NURU AFIF</t>
  </si>
  <si>
    <t>NURZIE SUZMAIYANTI BINTI MAZALANI</t>
  </si>
  <si>
    <t>RAINE ADAWIYAH BINTI ROSMAN</t>
  </si>
  <si>
    <t>ROSSA ANAK DOGLAS BRUDY</t>
  </si>
  <si>
    <t>SITI NORSAHEERAH EMELIYA BINTI ABDULLAH</t>
  </si>
  <si>
    <t>SITI NUR NAZURAH BINTI NORLIP</t>
  </si>
  <si>
    <t>VIVIYANTI CHRISTY ANAK PETER</t>
  </si>
  <si>
    <t>ZARA JASMIN BINTI ROZIMAN</t>
  </si>
  <si>
    <t>ABDUL RAFEE LUTFAN HAKIM BIN MUHAMMAD NASRUL HAKIM</t>
  </si>
  <si>
    <t>ADI WAFI BIN ZAKARIA</t>
  </si>
  <si>
    <t>MOHAMMAD SHAZIRIL BIN ABDULLAH</t>
  </si>
  <si>
    <t>MUHAMAD DANISH IRSYADUDDIN BIN ABDULLAH</t>
  </si>
  <si>
    <t>MUHAMMAD ADAM ZAFRAN BIN ABDULLAH</t>
  </si>
  <si>
    <t>MUHAMMAD ANIQ MUSTAQIM BIN ABDULLAH SAIPUL @ ARUL</t>
  </si>
  <si>
    <t>MUHAMMAD ASYRAF RUSYAIDI BIN ABU BAKAR</t>
  </si>
  <si>
    <t>MUHAMMAD HAFIZZUL BIN MUHAMMAD NOR PANDDY</t>
  </si>
  <si>
    <t>MUHAMMAD KHAIRUL AMIRIN BIN MUHAMMAD IMRAN</t>
  </si>
  <si>
    <t>MUHAMMAD SYUKRI KHALIQ FADHLILLAH BIN MOHAMMAD HASNI</t>
  </si>
  <si>
    <t>AISYAH HUMAIRA BINTI TAIP</t>
  </si>
  <si>
    <t>JULIANA FRANCESSCA MIA ANAK LAWRENCE</t>
  </si>
  <si>
    <t>MARCELLA ANAK MUNAN @ MARCELL</t>
  </si>
  <si>
    <t>NORAFIZAH NORIZAN BINTI ABDULLAH</t>
  </si>
  <si>
    <t>NUR ASYIKIN BINTI HAZROL</t>
  </si>
  <si>
    <t>NURALIYIA BATRICHA BINTI MOHAMMAD AZMI</t>
  </si>
  <si>
    <t>NURASNANI BINTI MUHAMMAD AFIQ SHAHFIRIN</t>
  </si>
  <si>
    <t>NURFARAH SHAZA WANA BINTI MOHAMMAD FIRMASERDUAN @ AMIRA</t>
  </si>
  <si>
    <t>NURUL FATIN AMIRAH BINTI MOHAMMAD HAIRUL ALMI</t>
  </si>
  <si>
    <t>NURUL FATIN SYAKIRAH BINTI MUHAMMAD SYUKRI</t>
  </si>
  <si>
    <t>NURUL JANNAH BINTI ABDULLAH DINI ROZAIME</t>
  </si>
  <si>
    <t xml:space="preserve">WARDATUL BAZILAH BINTI MUHD SYAFIQ </t>
  </si>
  <si>
    <t>ABDUL MUNTAQIM BIN HARDI</t>
  </si>
  <si>
    <t>ABDUL WAZIEF AMSYAR BIN ABDUL WAHID</t>
  </si>
  <si>
    <t>ALEX ALFIE ANAK LIAM</t>
  </si>
  <si>
    <t>MOHAMAD NURAIMAN SHAH BIN MOHAMAD LIZAM</t>
  </si>
  <si>
    <t>MOHAMAD SYAHIN RAFLI QOID BIN ROYSON / MUHAMMAD SYAMIL RIZQULLAH</t>
  </si>
  <si>
    <t>MOHAMMAD AMNIRUL AZROOL AZIM BIN AMLIN</t>
  </si>
  <si>
    <t>MOHAMMAD NAQIUDDIN BIN MOHD JOHARI</t>
  </si>
  <si>
    <t>MOHAMMAD NURIZSYAMMUDIEN BIN MASUNY ISHAM</t>
  </si>
  <si>
    <t>MUHAMMAD IS'ASHRAAF BIN ABDULLAH MUHAMMAD ISKANDAR</t>
  </si>
  <si>
    <t>MUHAMMAD SYARQAWI SYAZANI BIN MATSAID</t>
  </si>
  <si>
    <t>MUHAMMAD SYAZWAN ADAM BIN MUHAMAD SYAZANI @ SYARIN ADAM RANCHERO</t>
  </si>
  <si>
    <t>RAPHAEL ELVIS ANAK DINGUN</t>
  </si>
  <si>
    <t>SALIHIN ARIF BIN ALIHAN</t>
  </si>
  <si>
    <t>YONG WEI LIANG</t>
  </si>
  <si>
    <t xml:space="preserve">AMELIA EMBUN ANAK AMIRYAN </t>
  </si>
  <si>
    <t>ELAYANA ALEEZA ANAK KERSIDIE</t>
  </si>
  <si>
    <t xml:space="preserve">NURALISYA @ERAH BINTI SAIPUL @ALIZAN </t>
  </si>
  <si>
    <t>NURSYIQIN BINTI SAIFUL HAIROL</t>
  </si>
  <si>
    <t>8A</t>
  </si>
  <si>
    <t>8B</t>
  </si>
  <si>
    <t>8C</t>
  </si>
  <si>
    <t>8D</t>
  </si>
  <si>
    <t>M</t>
  </si>
  <si>
    <t>F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</si>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</sst>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sz val="14"/>
      <name val="Arial"/>
      <family val="2"/>
    </font>
    <font>
      <b/>
      <i/>
      <sz val="14"/>
      <name val="Arial"/>
      <family val="2"/>
    </font>
    <font>
      <b/>
      <sz val="14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u/>
      <sz val="12"/>
      <color indexed="8"/>
      <name val="Arial"/>
      <family val="2"/>
    </font>
    <font>
      <b/>
      <i/>
      <u/>
      <sz val="14"/>
      <name val="Arial"/>
      <family val="2"/>
    </font>
    <font>
      <b/>
      <sz val="24"/>
      <color indexed="18"/>
      <name val="Arial"/>
      <family val="2"/>
    </font>
    <font>
      <b/>
      <sz val="26"/>
      <color indexed="1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b/>
      <sz val="24"/>
      <name val="Arial"/>
      <family val="2"/>
    </font>
    <font>
      <b/>
      <sz val="26"/>
      <name val="Arial"/>
      <family val="2"/>
    </font>
    <font>
      <b/>
      <sz val="20"/>
      <color indexed="10"/>
      <name val="Calibri"/>
      <family val="2"/>
    </font>
    <font>
      <b/>
      <sz val="20"/>
      <color indexed="10"/>
      <name val="Arial"/>
      <family val="2"/>
    </font>
    <font>
      <b/>
      <sz val="20"/>
      <color indexed="18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Verdana"/>
      <family val="2"/>
    </font>
    <font>
      <sz val="12"/>
      <color rgb="FF000000"/>
      <name val="Arial"/>
      <family val="2"/>
    </font>
    <font>
      <b/>
      <sz val="20"/>
      <color rgb="FFFF0000"/>
      <name val="Arial"/>
      <family val="2"/>
    </font>
    <font>
      <sz val="20"/>
      <color rgb="FFFF0000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8"/>
      <name val="Arial"/>
      <family val="2"/>
    </font>
    <font>
      <sz val="10"/>
      <color rgb="FF000000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u/>
      <sz val="14"/>
      <name val="Arial"/>
      <family val="2"/>
    </font>
    <font>
      <sz val="14"/>
      <name val="Calibri"/>
      <family val="2"/>
    </font>
    <font>
      <i/>
      <sz val="14"/>
      <name val="Arial"/>
      <family val="2"/>
    </font>
    <font>
      <sz val="14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1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indexed="0"/>
      </patternFill>
    </fill>
    <fill>
      <patternFill patternType="solid">
        <fgColor theme="9" tint="0.59999389629810485"/>
        <bgColor indexed="0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FF"/>
        <bgColor indexed="3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04EC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5" fillId="0" borderId="0"/>
    <xf numFmtId="0" fontId="15" fillId="0" borderId="0"/>
    <xf numFmtId="0" fontId="7" fillId="0" borderId="0"/>
  </cellStyleXfs>
  <cellXfs count="166">
    <xf numFmtId="0" fontId="0" fillId="0" borderId="0" xfId="0"/>
    <xf numFmtId="0" fontId="2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8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0" fontId="28" fillId="0" borderId="0" xfId="0" applyFont="1" applyAlignment="1" applyProtection="1">
      <alignment vertical="center"/>
      <protection locked="0"/>
    </xf>
    <xf numFmtId="0" fontId="20" fillId="0" borderId="0" xfId="0" applyFont="1" applyAlignment="1" applyProtection="1">
      <alignment vertical="center"/>
      <protection locked="0"/>
    </xf>
    <xf numFmtId="164" fontId="9" fillId="0" borderId="0" xfId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4" fillId="3" borderId="1" xfId="4" applyFont="1" applyFill="1" applyBorder="1" applyAlignment="1" applyProtection="1">
      <alignment horizontal="center" vertical="center" wrapText="1"/>
      <protection locked="0"/>
    </xf>
    <xf numFmtId="0" fontId="4" fillId="4" borderId="1" xfId="4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29" fillId="2" borderId="2" xfId="0" applyFont="1" applyFill="1" applyBorder="1" applyAlignment="1" applyProtection="1">
      <alignment horizontal="center" vertical="center" wrapText="1"/>
      <protection locked="0"/>
    </xf>
    <xf numFmtId="9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2" fillId="5" borderId="4" xfId="0" applyFont="1" applyFill="1" applyBorder="1" applyAlignment="1" applyProtection="1">
      <alignment horizontal="center" vertical="center"/>
      <protection locked="0"/>
    </xf>
    <xf numFmtId="0" fontId="2" fillId="5" borderId="5" xfId="0" applyFont="1" applyFill="1" applyBorder="1" applyAlignment="1" applyProtection="1">
      <alignment horizontal="center" vertical="center"/>
      <protection locked="0"/>
    </xf>
    <xf numFmtId="0" fontId="2" fillId="5" borderId="6" xfId="0" applyFont="1" applyFill="1" applyBorder="1" applyAlignment="1" applyProtection="1">
      <alignment horizontal="center" vertical="center"/>
      <protection locked="0"/>
    </xf>
    <xf numFmtId="0" fontId="2" fillId="5" borderId="7" xfId="0" applyFont="1" applyFill="1" applyBorder="1" applyAlignment="1" applyProtection="1">
      <alignment horizontal="center" vertical="center"/>
      <protection locked="0"/>
    </xf>
    <xf numFmtId="0" fontId="2" fillId="6" borderId="4" xfId="0" applyFont="1" applyFill="1" applyBorder="1" applyAlignment="1" applyProtection="1">
      <alignment horizontal="center" vertical="center"/>
      <protection locked="0"/>
    </xf>
    <xf numFmtId="0" fontId="2" fillId="6" borderId="5" xfId="0" applyFont="1" applyFill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/>
      <protection locked="0"/>
    </xf>
    <xf numFmtId="0" fontId="2" fillId="5" borderId="8" xfId="0" applyFont="1" applyFill="1" applyBorder="1" applyAlignment="1" applyProtection="1">
      <alignment horizontal="center" vertical="center"/>
      <protection locked="0"/>
    </xf>
    <xf numFmtId="0" fontId="2" fillId="5" borderId="9" xfId="0" applyFont="1" applyFill="1" applyBorder="1" applyAlignment="1" applyProtection="1">
      <alignment horizontal="center" vertical="center"/>
      <protection locked="0"/>
    </xf>
    <xf numFmtId="0" fontId="2" fillId="5" borderId="10" xfId="0" applyFont="1" applyFill="1" applyBorder="1" applyAlignment="1" applyProtection="1">
      <alignment horizontal="center" vertical="center"/>
      <protection locked="0"/>
    </xf>
    <xf numFmtId="0" fontId="2" fillId="6" borderId="11" xfId="0" applyFont="1" applyFill="1" applyBorder="1" applyAlignment="1" applyProtection="1">
      <alignment horizontal="center" vertical="center"/>
      <protection locked="0"/>
    </xf>
    <xf numFmtId="0" fontId="2" fillId="6" borderId="8" xfId="0" applyFont="1" applyFill="1" applyBorder="1" applyAlignment="1" applyProtection="1">
      <alignment horizontal="center" vertical="center"/>
      <protection locked="0"/>
    </xf>
    <xf numFmtId="0" fontId="0" fillId="7" borderId="3" xfId="0" applyFill="1" applyBorder="1" applyProtection="1">
      <protection locked="0"/>
    </xf>
    <xf numFmtId="0" fontId="0" fillId="7" borderId="12" xfId="0" applyFill="1" applyBorder="1" applyProtection="1">
      <protection locked="0"/>
    </xf>
    <xf numFmtId="0" fontId="0" fillId="5" borderId="5" xfId="0" applyFill="1" applyBorder="1" applyProtection="1">
      <protection locked="0"/>
    </xf>
    <xf numFmtId="0" fontId="0" fillId="5" borderId="7" xfId="0" applyFill="1" applyBorder="1" applyProtection="1">
      <protection locked="0"/>
    </xf>
    <xf numFmtId="0" fontId="0" fillId="5" borderId="6" xfId="0" applyFill="1" applyBorder="1" applyProtection="1">
      <protection locked="0"/>
    </xf>
    <xf numFmtId="0" fontId="0" fillId="6" borderId="7" xfId="0" applyFill="1" applyBorder="1" applyProtection="1">
      <protection locked="0"/>
    </xf>
    <xf numFmtId="0" fontId="0" fillId="6" borderId="5" xfId="0" applyFill="1" applyBorder="1" applyProtection="1">
      <protection locked="0"/>
    </xf>
    <xf numFmtId="0" fontId="2" fillId="2" borderId="13" xfId="0" applyFont="1" applyFill="1" applyBorder="1" applyAlignment="1">
      <alignment horizontal="center" vertical="center"/>
    </xf>
    <xf numFmtId="0" fontId="2" fillId="6" borderId="14" xfId="0" applyFont="1" applyFill="1" applyBorder="1" applyAlignment="1" applyProtection="1">
      <alignment horizontal="center" vertical="center"/>
      <protection locked="0"/>
    </xf>
    <xf numFmtId="0" fontId="0" fillId="5" borderId="10" xfId="0" applyFill="1" applyBorder="1" applyProtection="1">
      <protection locked="0"/>
    </xf>
    <xf numFmtId="0" fontId="0" fillId="5" borderId="8" xfId="0" applyFill="1" applyBorder="1" applyProtection="1">
      <protection locked="0"/>
    </xf>
    <xf numFmtId="0" fontId="0" fillId="5" borderId="9" xfId="0" applyFill="1" applyBorder="1" applyProtection="1">
      <protection locked="0"/>
    </xf>
    <xf numFmtId="0" fontId="0" fillId="6" borderId="10" xfId="0" applyFill="1" applyBorder="1" applyProtection="1">
      <protection locked="0"/>
    </xf>
    <xf numFmtId="0" fontId="0" fillId="6" borderId="8" xfId="0" applyFill="1" applyBorder="1" applyProtection="1"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15" xfId="0" applyFont="1" applyBorder="1" applyAlignment="1" applyProtection="1">
      <alignment horizontal="center" vertical="center"/>
      <protection locked="0"/>
    </xf>
    <xf numFmtId="0" fontId="0" fillId="7" borderId="16" xfId="0" applyFill="1" applyBorder="1" applyProtection="1">
      <protection locked="0"/>
    </xf>
    <xf numFmtId="0" fontId="0" fillId="5" borderId="17" xfId="0" applyFill="1" applyBorder="1" applyProtection="1">
      <protection locked="0"/>
    </xf>
    <xf numFmtId="0" fontId="0" fillId="5" borderId="18" xfId="0" applyFill="1" applyBorder="1" applyProtection="1">
      <protection locked="0"/>
    </xf>
    <xf numFmtId="0" fontId="0" fillId="5" borderId="19" xfId="0" applyFill="1" applyBorder="1" applyProtection="1">
      <protection locked="0"/>
    </xf>
    <xf numFmtId="0" fontId="0" fillId="6" borderId="17" xfId="0" applyFill="1" applyBorder="1" applyProtection="1">
      <protection locked="0"/>
    </xf>
    <xf numFmtId="0" fontId="0" fillId="6" borderId="18" xfId="0" applyFill="1" applyBorder="1" applyProtection="1">
      <protection locked="0"/>
    </xf>
    <xf numFmtId="0" fontId="4" fillId="5" borderId="20" xfId="0" applyFont="1" applyFill="1" applyBorder="1" applyAlignment="1" applyProtection="1">
      <alignment horizontal="center" vertical="center"/>
      <protection locked="0"/>
    </xf>
    <xf numFmtId="0" fontId="4" fillId="5" borderId="21" xfId="0" applyFont="1" applyFill="1" applyBorder="1" applyAlignment="1" applyProtection="1">
      <alignment horizontal="center" vertical="center"/>
      <protection locked="0"/>
    </xf>
    <xf numFmtId="0" fontId="4" fillId="5" borderId="22" xfId="0" applyFont="1" applyFill="1" applyBorder="1" applyAlignment="1" applyProtection="1">
      <alignment horizontal="center" vertical="center"/>
      <protection locked="0"/>
    </xf>
    <xf numFmtId="0" fontId="0" fillId="0" borderId="5" xfId="0" applyBorder="1" applyProtection="1">
      <protection locked="0"/>
    </xf>
    <xf numFmtId="0" fontId="4" fillId="5" borderId="14" xfId="0" applyFont="1" applyFill="1" applyBorder="1" applyAlignment="1" applyProtection="1">
      <alignment horizontal="center" vertical="center"/>
      <protection locked="0"/>
    </xf>
    <xf numFmtId="0" fontId="4" fillId="8" borderId="5" xfId="0" applyFont="1" applyFill="1" applyBorder="1" applyAlignment="1" applyProtection="1">
      <alignment horizontal="center" vertical="center"/>
      <protection locked="0"/>
    </xf>
    <xf numFmtId="0" fontId="4" fillId="2" borderId="23" xfId="0" applyFont="1" applyFill="1" applyBorder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center" vertical="center" wrapText="1"/>
      <protection locked="0"/>
    </xf>
    <xf numFmtId="0" fontId="2" fillId="2" borderId="2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9" borderId="5" xfId="0" applyFill="1" applyBorder="1" applyAlignment="1" applyProtection="1">
      <alignment horizontal="center" vertical="center"/>
      <protection locked="0"/>
    </xf>
    <xf numFmtId="0" fontId="0" fillId="9" borderId="5" xfId="0" applyFill="1" applyBorder="1" applyProtection="1">
      <protection locked="0"/>
    </xf>
    <xf numFmtId="0" fontId="0" fillId="9" borderId="8" xfId="0" applyFill="1" applyBorder="1" applyProtection="1">
      <protection locked="0"/>
    </xf>
    <xf numFmtId="0" fontId="0" fillId="9" borderId="18" xfId="0" applyFill="1" applyBorder="1" applyProtection="1">
      <protection locked="0"/>
    </xf>
    <xf numFmtId="0" fontId="2" fillId="10" borderId="25" xfId="0" applyFont="1" applyFill="1" applyBorder="1" applyAlignment="1" applyProtection="1">
      <alignment horizontal="center" vertical="center"/>
      <protection locked="0"/>
    </xf>
    <xf numFmtId="0" fontId="0" fillId="10" borderId="13" xfId="0" applyFill="1" applyBorder="1" applyProtection="1">
      <protection locked="0"/>
    </xf>
    <xf numFmtId="0" fontId="0" fillId="10" borderId="15" xfId="0" applyFill="1" applyBorder="1" applyProtection="1">
      <protection locked="0"/>
    </xf>
    <xf numFmtId="0" fontId="0" fillId="10" borderId="26" xfId="0" applyFill="1" applyBorder="1" applyProtection="1">
      <protection locked="0"/>
    </xf>
    <xf numFmtId="0" fontId="4" fillId="5" borderId="8" xfId="0" applyFont="1" applyFill="1" applyBorder="1" applyAlignment="1" applyProtection="1">
      <alignment horizontal="center" vertical="center"/>
      <protection locked="0"/>
    </xf>
    <xf numFmtId="0" fontId="4" fillId="5" borderId="27" xfId="0" applyFont="1" applyFill="1" applyBorder="1" applyAlignment="1" applyProtection="1">
      <alignment horizontal="center" vertical="center"/>
      <protection locked="0"/>
    </xf>
    <xf numFmtId="0" fontId="14" fillId="11" borderId="5" xfId="0" applyFont="1" applyFill="1" applyBorder="1" applyAlignment="1" applyProtection="1">
      <alignment horizontal="center" vertical="center"/>
      <protection locked="0"/>
    </xf>
    <xf numFmtId="0" fontId="0" fillId="11" borderId="5" xfId="0" applyFill="1" applyBorder="1" applyProtection="1">
      <protection locked="0"/>
    </xf>
    <xf numFmtId="0" fontId="0" fillId="11" borderId="8" xfId="0" applyFill="1" applyBorder="1" applyProtection="1">
      <protection locked="0"/>
    </xf>
    <xf numFmtId="0" fontId="0" fillId="11" borderId="18" xfId="0" applyFill="1" applyBorder="1" applyProtection="1">
      <protection locked="0"/>
    </xf>
    <xf numFmtId="0" fontId="0" fillId="0" borderId="16" xfId="0" applyBorder="1" applyAlignment="1" applyProtection="1">
      <alignment horizontal="center"/>
      <protection locked="0"/>
    </xf>
    <xf numFmtId="9" fontId="29" fillId="10" borderId="2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28" xfId="0" applyFont="1" applyFill="1" applyBorder="1" applyAlignment="1" applyProtection="1">
      <alignment horizontal="center" vertical="center" wrapText="1"/>
      <protection locked="0"/>
    </xf>
    <xf numFmtId="0" fontId="22" fillId="11" borderId="5" xfId="0" applyFont="1" applyFill="1" applyBorder="1" applyAlignment="1" applyProtection="1">
      <alignment horizontal="center" vertical="center"/>
      <protection locked="0"/>
    </xf>
    <xf numFmtId="0" fontId="22" fillId="10" borderId="25" xfId="0" applyFont="1" applyFill="1" applyBorder="1" applyAlignment="1" applyProtection="1">
      <alignment horizontal="center" vertical="center"/>
      <protection locked="0"/>
    </xf>
    <xf numFmtId="0" fontId="9" fillId="11" borderId="5" xfId="2" applyFont="1" applyFill="1" applyBorder="1" applyAlignment="1" applyProtection="1">
      <alignment horizontal="center" vertical="center"/>
      <protection locked="0"/>
    </xf>
    <xf numFmtId="0" fontId="9" fillId="11" borderId="5" xfId="3" applyFont="1" applyFill="1" applyBorder="1" applyAlignment="1" applyProtection="1">
      <alignment horizontal="center" vertical="center"/>
      <protection locked="0"/>
    </xf>
    <xf numFmtId="0" fontId="7" fillId="0" borderId="29" xfId="0" applyFont="1" applyBorder="1" applyAlignment="1" applyProtection="1">
      <alignment horizontal="center" vertical="center"/>
      <protection locked="0"/>
    </xf>
    <xf numFmtId="0" fontId="30" fillId="0" borderId="7" xfId="0" applyFont="1" applyBorder="1" applyAlignment="1">
      <alignment vertical="center"/>
    </xf>
    <xf numFmtId="0" fontId="31" fillId="0" borderId="39" xfId="0" applyFont="1" applyBorder="1" applyAlignment="1">
      <alignment vertic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0" fillId="0" borderId="7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7" xfId="0" applyBorder="1" applyProtection="1">
      <protection locked="0"/>
    </xf>
    <xf numFmtId="164" fontId="9" fillId="0" borderId="0" xfId="1" applyFont="1" applyAlignment="1" applyProtection="1">
      <alignment vertical="center" wrapText="1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40" xfId="0" applyFont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40" xfId="0" applyFont="1" applyBorder="1" applyAlignment="1" applyProtection="1">
      <alignment vertical="center"/>
      <protection locked="0"/>
    </xf>
    <xf numFmtId="164" fontId="9" fillId="0" borderId="0" xfId="1" applyFont="1" applyAlignment="1" applyProtection="1">
      <alignment vertical="center"/>
      <protection locked="0"/>
    </xf>
    <xf numFmtId="164" fontId="36" fillId="0" borderId="0" xfId="1" applyFont="1" applyAlignment="1" applyProtection="1">
      <alignment horizontal="center" vertical="center"/>
      <protection locked="0"/>
    </xf>
    <xf numFmtId="164" fontId="9" fillId="0" borderId="0" xfId="1" applyFont="1" applyFill="1" applyAlignment="1" applyProtection="1">
      <alignment vertical="center"/>
      <protection locked="0"/>
    </xf>
    <xf numFmtId="164" fontId="20" fillId="0" borderId="0" xfId="1" applyFont="1" applyAlignment="1" applyProtection="1">
      <alignment vertical="center"/>
      <protection locked="0"/>
    </xf>
    <xf numFmtId="164" fontId="9" fillId="0" borderId="0" xfId="1" applyFont="1" applyAlignment="1" applyProtection="1">
      <alignment horizontal="center" vertical="center"/>
      <protection locked="0"/>
    </xf>
    <xf numFmtId="164" fontId="36" fillId="0" borderId="0" xfId="1" applyFont="1" applyAlignment="1" applyProtection="1">
      <alignment horizontal="center"/>
      <protection locked="0"/>
    </xf>
    <xf numFmtId="164" fontId="9" fillId="0" borderId="0" xfId="1" applyFont="1" applyFill="1" applyAlignment="1" applyProtection="1">
      <alignment horizontal="center"/>
      <protection locked="0"/>
    </xf>
    <xf numFmtId="0" fontId="7" fillId="11" borderId="30" xfId="0" applyFont="1" applyFill="1" applyBorder="1" applyAlignment="1" applyProtection="1">
      <alignment horizontal="center" vertical="center"/>
      <protection locked="0"/>
    </xf>
    <xf numFmtId="0" fontId="7" fillId="11" borderId="5" xfId="0" applyFont="1" applyFill="1" applyBorder="1" applyAlignment="1" applyProtection="1">
      <alignment horizontal="center" vertical="center"/>
      <protection locked="0"/>
    </xf>
    <xf numFmtId="0" fontId="37" fillId="0" borderId="39" xfId="0" applyFont="1" applyBorder="1" applyAlignment="1">
      <alignment vertical="center"/>
    </xf>
    <xf numFmtId="0" fontId="15" fillId="11" borderId="5" xfId="2" applyFill="1" applyBorder="1" applyAlignment="1" applyProtection="1">
      <alignment horizontal="center" vertical="center"/>
      <protection locked="0"/>
    </xf>
    <xf numFmtId="0" fontId="38" fillId="10" borderId="25" xfId="0" applyFont="1" applyFill="1" applyBorder="1" applyAlignment="1" applyProtection="1">
      <alignment horizontal="center" vertical="center"/>
      <protection locked="0"/>
    </xf>
    <xf numFmtId="0" fontId="39" fillId="7" borderId="3" xfId="0" applyFont="1" applyFill="1" applyBorder="1" applyProtection="1">
      <protection locked="0"/>
    </xf>
    <xf numFmtId="0" fontId="39" fillId="7" borderId="3" xfId="0" applyFont="1" applyFill="1" applyBorder="1" applyAlignment="1" applyProtection="1">
      <alignment horizontal="center"/>
      <protection locked="0"/>
    </xf>
    <xf numFmtId="0" fontId="37" fillId="0" borderId="7" xfId="0" applyFont="1" applyBorder="1" applyAlignment="1">
      <alignment vertical="center"/>
    </xf>
    <xf numFmtId="1" fontId="0" fillId="9" borderId="14" xfId="0" applyNumberFormat="1" applyFill="1" applyBorder="1" applyAlignment="1" applyProtection="1">
      <alignment horizontal="center" vertical="center"/>
      <protection locked="0"/>
    </xf>
    <xf numFmtId="1" fontId="0" fillId="9" borderId="5" xfId="0" applyNumberFormat="1" applyFill="1" applyBorder="1" applyAlignment="1" applyProtection="1">
      <alignment horizontal="center" vertical="center"/>
      <protection locked="0"/>
    </xf>
    <xf numFmtId="1" fontId="2" fillId="2" borderId="13" xfId="0" applyNumberFormat="1" applyFont="1" applyFill="1" applyBorder="1" applyAlignment="1">
      <alignment horizontal="center" vertical="center"/>
    </xf>
    <xf numFmtId="0" fontId="39" fillId="7" borderId="3" xfId="0" applyFont="1" applyFill="1" applyBorder="1" applyAlignment="1" applyProtection="1">
      <alignment horizontal="center" vertical="center"/>
      <protection locked="0"/>
    </xf>
    <xf numFmtId="0" fontId="45" fillId="0" borderId="44" xfId="0" applyFont="1" applyBorder="1" applyAlignment="1">
      <alignment vertical="center"/>
    </xf>
    <xf numFmtId="0" fontId="45" fillId="0" borderId="44" xfId="0" applyFont="1" applyBorder="1" applyAlignment="1">
      <alignment horizontal="left" vertical="center"/>
    </xf>
    <xf numFmtId="0" fontId="45" fillId="16" borderId="44" xfId="0" applyFont="1" applyFill="1" applyBorder="1" applyAlignment="1">
      <alignment vertical="center"/>
    </xf>
    <xf numFmtId="0" fontId="45" fillId="0" borderId="45" xfId="0" applyFont="1" applyBorder="1"/>
    <xf numFmtId="0" fontId="45" fillId="0" borderId="46" xfId="0" applyFont="1" applyBorder="1" applyAlignment="1">
      <alignment horizontal="left" vertical="center" wrapText="1"/>
    </xf>
    <xf numFmtId="0" fontId="45" fillId="0" borderId="46" xfId="0" applyFont="1" applyBorder="1" applyAlignment="1">
      <alignment vertical="center" wrapText="1"/>
    </xf>
    <xf numFmtId="0" fontId="40" fillId="0" borderId="0" xfId="0" applyFont="1" applyAlignment="1" applyProtection="1">
      <alignment horizontal="center"/>
      <protection locked="0"/>
    </xf>
    <xf numFmtId="0" fontId="16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41" fillId="0" borderId="0" xfId="0" applyFont="1" applyAlignment="1" applyProtection="1">
      <alignment horizontal="center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32" fillId="0" borderId="0" xfId="0" applyFont="1" applyAlignment="1" applyProtection="1">
      <alignment vertical="center" wrapText="1"/>
      <protection locked="0"/>
    </xf>
    <xf numFmtId="0" fontId="33" fillId="0" borderId="0" xfId="0" applyFont="1" applyAlignment="1" applyProtection="1">
      <alignment vertical="center" wrapText="1"/>
      <protection locked="0"/>
    </xf>
    <xf numFmtId="0" fontId="13" fillId="0" borderId="0" xfId="0" applyFont="1" applyAlignment="1" applyProtection="1">
      <alignment vertical="top" wrapText="1"/>
      <protection locked="0"/>
    </xf>
    <xf numFmtId="0" fontId="3" fillId="8" borderId="5" xfId="0" applyFont="1" applyFill="1" applyBorder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vertical="center" wrapText="1"/>
      <protection locked="0"/>
    </xf>
    <xf numFmtId="0" fontId="18" fillId="14" borderId="9" xfId="0" applyFont="1" applyFill="1" applyBorder="1" applyAlignment="1" applyProtection="1">
      <alignment horizontal="center" vertical="center" wrapText="1"/>
      <protection locked="0"/>
    </xf>
    <xf numFmtId="0" fontId="18" fillId="14" borderId="38" xfId="0" applyFont="1" applyFill="1" applyBorder="1" applyAlignment="1" applyProtection="1">
      <alignment horizontal="center" vertical="center" wrapText="1"/>
      <protection locked="0"/>
    </xf>
    <xf numFmtId="0" fontId="18" fillId="14" borderId="11" xfId="0" applyFont="1" applyFill="1" applyBorder="1" applyAlignment="1" applyProtection="1">
      <alignment horizontal="center" vertical="center" wrapText="1"/>
      <protection locked="0"/>
    </xf>
    <xf numFmtId="0" fontId="18" fillId="14" borderId="31" xfId="0" applyFont="1" applyFill="1" applyBorder="1" applyAlignment="1" applyProtection="1">
      <alignment horizontal="center" vertical="center" wrapText="1"/>
      <protection locked="0"/>
    </xf>
    <xf numFmtId="0" fontId="18" fillId="14" borderId="32" xfId="0" applyFont="1" applyFill="1" applyBorder="1" applyAlignment="1" applyProtection="1">
      <alignment horizontal="center" vertical="center" wrapText="1"/>
      <protection locked="0"/>
    </xf>
    <xf numFmtId="0" fontId="18" fillId="14" borderId="33" xfId="0" applyFont="1" applyFill="1" applyBorder="1" applyAlignment="1" applyProtection="1">
      <alignment horizontal="center" vertical="center" wrapText="1"/>
      <protection locked="0"/>
    </xf>
    <xf numFmtId="0" fontId="34" fillId="15" borderId="34" xfId="0" applyFont="1" applyFill="1" applyBorder="1" applyAlignment="1" applyProtection="1">
      <alignment horizontal="center" vertical="center" wrapText="1"/>
      <protection locked="0"/>
    </xf>
    <xf numFmtId="0" fontId="34" fillId="15" borderId="35" xfId="0" applyFont="1" applyFill="1" applyBorder="1" applyAlignment="1" applyProtection="1">
      <alignment horizontal="center" vertical="center" wrapText="1"/>
      <protection locked="0"/>
    </xf>
    <xf numFmtId="0" fontId="34" fillId="15" borderId="24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/>
      <protection locked="0"/>
    </xf>
    <xf numFmtId="0" fontId="4" fillId="5" borderId="25" xfId="0" applyFont="1" applyFill="1" applyBorder="1" applyAlignment="1" applyProtection="1">
      <alignment horizontal="center" vertical="center"/>
      <protection locked="0"/>
    </xf>
    <xf numFmtId="0" fontId="23" fillId="12" borderId="20" xfId="0" applyFont="1" applyFill="1" applyBorder="1" applyAlignment="1" applyProtection="1">
      <alignment horizontal="center" vertical="center" wrapText="1"/>
      <protection locked="0"/>
    </xf>
    <xf numFmtId="0" fontId="23" fillId="12" borderId="0" xfId="0" applyFont="1" applyFill="1" applyAlignment="1" applyProtection="1">
      <alignment horizontal="center" vertical="center" wrapText="1"/>
      <protection locked="0"/>
    </xf>
    <xf numFmtId="0" fontId="23" fillId="12" borderId="22" xfId="0" applyFont="1" applyFill="1" applyBorder="1" applyAlignment="1" applyProtection="1">
      <alignment horizontal="center" vertical="center" wrapText="1"/>
      <protection locked="0"/>
    </xf>
    <xf numFmtId="0" fontId="23" fillId="12" borderId="31" xfId="0" applyFont="1" applyFill="1" applyBorder="1" applyAlignment="1" applyProtection="1">
      <alignment horizontal="center" vertical="center" wrapText="1"/>
      <protection locked="0"/>
    </xf>
    <xf numFmtId="0" fontId="23" fillId="12" borderId="32" xfId="0" applyFont="1" applyFill="1" applyBorder="1" applyAlignment="1" applyProtection="1">
      <alignment horizontal="center" vertical="center" wrapText="1"/>
      <protection locked="0"/>
    </xf>
    <xf numFmtId="0" fontId="23" fillId="12" borderId="33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4" xfId="0" applyFont="1" applyBorder="1" applyAlignment="1" applyProtection="1">
      <alignment horizontal="center" vertical="center"/>
      <protection locked="0"/>
    </xf>
    <xf numFmtId="0" fontId="4" fillId="0" borderId="35" xfId="0" applyFont="1" applyBorder="1" applyAlignment="1" applyProtection="1">
      <alignment horizontal="center" vertical="center"/>
      <protection locked="0"/>
    </xf>
    <xf numFmtId="0" fontId="4" fillId="0" borderId="36" xfId="0" applyFont="1" applyBorder="1" applyAlignment="1" applyProtection="1">
      <alignment horizontal="center" vertical="center"/>
      <protection locked="0"/>
    </xf>
    <xf numFmtId="0" fontId="6" fillId="13" borderId="37" xfId="0" applyFont="1" applyFill="1" applyBorder="1" applyAlignment="1" applyProtection="1">
      <alignment horizontal="center" vertical="center"/>
      <protection locked="0"/>
    </xf>
    <xf numFmtId="0" fontId="6" fillId="13" borderId="0" xfId="0" applyFont="1" applyFill="1" applyAlignment="1" applyProtection="1">
      <alignment horizontal="center" vertical="center"/>
      <protection locked="0"/>
    </xf>
    <xf numFmtId="0" fontId="6" fillId="13" borderId="23" xfId="0" applyFont="1" applyFill="1" applyBorder="1" applyAlignment="1" applyProtection="1">
      <alignment horizontal="center" vertical="center"/>
      <protection locked="0"/>
    </xf>
    <xf numFmtId="164" fontId="11" fillId="0" borderId="0" xfId="1" applyFont="1" applyAlignment="1" applyProtection="1">
      <alignment vertical="center" wrapText="1"/>
      <protection locked="0"/>
    </xf>
    <xf numFmtId="0" fontId="4" fillId="0" borderId="41" xfId="0" applyFont="1" applyBorder="1" applyAlignment="1" applyProtection="1">
      <alignment horizontal="center" vertical="center"/>
      <protection locked="0"/>
    </xf>
    <xf numFmtId="0" fontId="4" fillId="0" borderId="42" xfId="0" applyFont="1" applyBorder="1" applyAlignment="1" applyProtection="1">
      <alignment horizontal="center" vertical="center"/>
      <protection locked="0"/>
    </xf>
    <xf numFmtId="0" fontId="4" fillId="0" borderId="43" xfId="0" applyFont="1" applyBorder="1" applyAlignment="1" applyProtection="1">
      <alignment horizontal="center" vertical="center"/>
      <protection locked="0"/>
    </xf>
    <xf numFmtId="0" fontId="35" fillId="0" borderId="41" xfId="0" applyFont="1" applyBorder="1" applyAlignment="1" applyProtection="1">
      <alignment horizontal="center" vertical="center"/>
      <protection locked="0"/>
    </xf>
    <xf numFmtId="0" fontId="35" fillId="0" borderId="42" xfId="0" applyFont="1" applyBorder="1" applyAlignment="1" applyProtection="1">
      <alignment horizontal="center" vertical="center"/>
      <protection locked="0"/>
    </xf>
    <xf numFmtId="0" fontId="35" fillId="0" borderId="43" xfId="0" applyFont="1" applyBorder="1" applyAlignment="1" applyProtection="1">
      <alignment horizontal="center" vertical="center"/>
      <protection locked="0"/>
    </xf>
  </cellXfs>
  <cellStyles count="5">
    <cellStyle name="Comma" xfId="1" builtinId="3"/>
    <cellStyle name="Normal" xfId="0" builtinId="0"/>
    <cellStyle name="Normal 12" xfId="2" xr:uid="{00000000-0005-0000-0000-000002000000}"/>
    <cellStyle name="Normal 16" xfId="3" xr:uid="{00000000-0005-0000-0000-000003000000}"/>
    <cellStyle name="Normal_Sheet1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993"/>
  <sheetViews>
    <sheetView tabSelected="1" topLeftCell="BY21" zoomScaleNormal="100" workbookViewId="0">
      <selection activeCell="CH85" sqref="CH85"/>
    </sheetView>
  </sheetViews>
  <sheetFormatPr defaultColWidth="9.140625" defaultRowHeight="15"/>
  <cols>
    <col min="1" max="1" width="9.140625" style="13"/>
    <col min="2" max="2" width="66" style="13" customWidth="1"/>
    <col min="3" max="3" width="10.7109375" style="13" customWidth="1"/>
    <col min="4" max="4" width="9.140625" style="13" customWidth="1"/>
    <col min="5" max="5" width="9.85546875" style="13" customWidth="1"/>
    <col min="6" max="20" width="4.7109375" style="13" customWidth="1"/>
    <col min="21" max="21" width="5.140625" style="13" customWidth="1"/>
    <col min="22" max="24" width="4.7109375" style="13" customWidth="1"/>
    <col min="25" max="25" width="5.7109375" style="13" customWidth="1"/>
    <col min="26" max="26" width="6.28515625" style="13" customWidth="1"/>
    <col min="27" max="27" width="5.28515625" style="13" customWidth="1"/>
    <col min="28" max="28" width="4.7109375" style="58" customWidth="1"/>
    <col min="29" max="29" width="6" style="58" customWidth="1"/>
    <col min="30" max="30" width="6.42578125" style="58" customWidth="1"/>
    <col min="31" max="39" width="4.7109375" style="58" customWidth="1"/>
    <col min="40" max="40" width="11.42578125" style="13" customWidth="1"/>
    <col min="41" max="54" width="4.7109375" style="13" customWidth="1"/>
    <col min="55" max="55" width="5.42578125" style="13" customWidth="1"/>
    <col min="56" max="73" width="4.7109375" style="13" customWidth="1"/>
    <col min="74" max="74" width="5.85546875" style="13" bestFit="1" customWidth="1"/>
    <col min="75" max="75" width="6.42578125" style="13" bestFit="1" customWidth="1"/>
    <col min="76" max="76" width="7.140625" style="13" bestFit="1" customWidth="1"/>
    <col min="77" max="81" width="7.140625" style="13" customWidth="1"/>
    <col min="82" max="82" width="5.28515625" style="13" bestFit="1" customWidth="1"/>
    <col min="83" max="83" width="13.42578125" style="13" customWidth="1"/>
    <col min="84" max="84" width="15.140625" style="13" customWidth="1"/>
    <col min="85" max="85" width="11" style="13" customWidth="1"/>
    <col min="86" max="86" width="17.7109375" style="13" customWidth="1"/>
    <col min="87" max="87" width="13.42578125" style="13" customWidth="1"/>
    <col min="88" max="88" width="66.28515625" style="13" bestFit="1" customWidth="1"/>
    <col min="89" max="16384" width="9.140625" style="13"/>
  </cols>
  <sheetData>
    <row r="1" spans="1:123" s="1" customFormat="1" ht="17.25" customHeight="1">
      <c r="A1" s="123" t="s">
        <v>48</v>
      </c>
      <c r="B1" s="123"/>
      <c r="C1" s="123"/>
      <c r="D1" s="123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</row>
    <row r="2" spans="1:123" s="1" customFormat="1" ht="17.25" customHeight="1">
      <c r="A2" s="125" t="s">
        <v>0</v>
      </c>
      <c r="B2" s="125"/>
      <c r="C2" s="125"/>
      <c r="D2" s="125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</row>
    <row r="3" spans="1:123" s="5" customFormat="1" ht="22.5" customHeight="1">
      <c r="A3" s="126" t="s">
        <v>1</v>
      </c>
      <c r="B3" s="126"/>
      <c r="C3" s="126"/>
      <c r="D3" s="126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4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</row>
    <row r="4" spans="1:123" s="5" customFormat="1" ht="34.5" customHeight="1">
      <c r="A4" s="128" t="s">
        <v>2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4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</row>
    <row r="5" spans="1:123" s="5" customFormat="1" ht="35.1" customHeight="1">
      <c r="A5" s="130" t="s">
        <v>71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4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</row>
    <row r="6" spans="1:123" s="9" customFormat="1" ht="35.1" customHeight="1">
      <c r="A6" s="127" t="s">
        <v>72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27"/>
      <c r="AL6" s="127"/>
      <c r="AM6" s="127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8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</row>
    <row r="7" spans="1:123" s="6" customFormat="1" ht="35.1" customHeight="1">
      <c r="A7" s="127" t="s">
        <v>73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CE7" s="10"/>
    </row>
    <row r="8" spans="1:123" s="6" customFormat="1" ht="35.1" customHeight="1">
      <c r="A8" s="127" t="s">
        <v>74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</row>
    <row r="9" spans="1:123" s="6" customFormat="1" ht="35.1" customHeight="1">
      <c r="A9" s="127" t="s">
        <v>75</v>
      </c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</row>
    <row r="10" spans="1:123" s="6" customFormat="1" ht="35.1" customHeight="1">
      <c r="A10" s="127" t="s">
        <v>76</v>
      </c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  <c r="AM10" s="127"/>
    </row>
    <row r="11" spans="1:123" s="9" customFormat="1" ht="35.1" customHeight="1">
      <c r="A11" s="127" t="s">
        <v>77</v>
      </c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  <c r="AI11" s="127"/>
      <c r="AJ11" s="127"/>
      <c r="AK11" s="127"/>
      <c r="AL11" s="127"/>
      <c r="AM11" s="127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8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</row>
    <row r="12" spans="1:123" s="9" customFormat="1" ht="35.1" customHeight="1">
      <c r="A12" s="159" t="s">
        <v>78</v>
      </c>
      <c r="B12" s="159"/>
      <c r="C12" s="159"/>
      <c r="D12" s="159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8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</row>
    <row r="13" spans="1:123" s="9" customFormat="1" ht="35.1" customHeight="1">
      <c r="A13" s="93"/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8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</row>
    <row r="14" spans="1:123" s="98" customFormat="1" ht="24.95" customHeight="1">
      <c r="B14" s="99" t="s">
        <v>49</v>
      </c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DN14" s="101"/>
      <c r="DQ14" s="102"/>
      <c r="DS14" s="102"/>
    </row>
    <row r="15" spans="1:123" s="11" customFormat="1" ht="24.95" customHeight="1" thickBot="1">
      <c r="B15" s="103" t="s">
        <v>47</v>
      </c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</row>
    <row r="16" spans="1:123" s="27" customFormat="1" ht="24.95" customHeight="1" thickBot="1">
      <c r="B16" s="95" t="s">
        <v>45</v>
      </c>
      <c r="C16" s="160" t="s">
        <v>80</v>
      </c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2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4"/>
      <c r="BQ16" s="94"/>
      <c r="BR16" s="94"/>
      <c r="BS16" s="94"/>
      <c r="BT16" s="94"/>
      <c r="BU16" s="94"/>
      <c r="BV16" s="94"/>
      <c r="BW16" s="94"/>
      <c r="BX16" s="94"/>
      <c r="BY16" s="94"/>
      <c r="BZ16" s="94"/>
      <c r="CA16" s="94"/>
      <c r="CB16" s="94"/>
      <c r="CC16" s="94"/>
      <c r="CD16" s="94"/>
      <c r="CE16" s="94"/>
      <c r="CF16" s="94"/>
      <c r="CG16" s="94"/>
      <c r="CH16" s="94"/>
      <c r="CI16" s="94"/>
      <c r="CJ16" s="94"/>
      <c r="CK16" s="94"/>
      <c r="CL16" s="94"/>
      <c r="CM16" s="94"/>
      <c r="CN16" s="94"/>
      <c r="CO16" s="94"/>
      <c r="CP16" s="94"/>
      <c r="CQ16" s="94"/>
      <c r="CR16" s="94"/>
      <c r="CS16" s="94"/>
      <c r="CT16" s="94"/>
      <c r="CU16" s="94"/>
      <c r="CV16" s="94"/>
      <c r="CW16" s="94"/>
      <c r="CX16" s="94"/>
      <c r="CY16" s="94"/>
      <c r="CZ16" s="94"/>
      <c r="DA16" s="94"/>
      <c r="DB16" s="94"/>
      <c r="DC16" s="94"/>
      <c r="DD16" s="94"/>
      <c r="DE16" s="94"/>
      <c r="DF16" s="94"/>
      <c r="DG16" s="94"/>
      <c r="DH16" s="94"/>
      <c r="DI16" s="94"/>
      <c r="DJ16" s="94"/>
      <c r="DK16" s="94"/>
      <c r="DL16" s="94"/>
      <c r="DM16" s="94"/>
    </row>
    <row r="17" spans="1:117" s="27" customFormat="1" ht="26.25" customHeight="1" thickBot="1">
      <c r="A17" s="94"/>
      <c r="B17" s="97" t="s">
        <v>46</v>
      </c>
      <c r="C17" s="163">
        <v>85</v>
      </c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5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4"/>
      <c r="BQ17" s="94"/>
      <c r="BR17" s="94"/>
      <c r="BS17" s="94"/>
      <c r="BT17" s="94"/>
      <c r="BU17" s="94"/>
      <c r="BV17" s="94"/>
      <c r="BW17" s="94"/>
      <c r="BX17" s="94"/>
      <c r="BY17" s="94"/>
      <c r="BZ17" s="94"/>
      <c r="CA17" s="94"/>
      <c r="CB17" s="94"/>
      <c r="CC17" s="94"/>
      <c r="CD17" s="94"/>
      <c r="CE17" s="94"/>
      <c r="CF17" s="94"/>
      <c r="CG17" s="94"/>
      <c r="CH17" s="94"/>
      <c r="CI17" s="94"/>
      <c r="CJ17" s="94"/>
      <c r="CK17" s="94"/>
      <c r="CL17" s="94"/>
      <c r="CM17" s="94"/>
      <c r="CN17" s="94"/>
      <c r="CO17" s="94"/>
      <c r="CP17" s="94"/>
      <c r="CQ17" s="94"/>
      <c r="CR17" s="94"/>
      <c r="CS17" s="94"/>
      <c r="CT17" s="94"/>
      <c r="CU17" s="94"/>
      <c r="CV17" s="94"/>
      <c r="CW17" s="94"/>
      <c r="CX17" s="94"/>
      <c r="CY17" s="94"/>
      <c r="CZ17" s="94"/>
      <c r="DA17" s="94"/>
      <c r="DB17" s="94"/>
      <c r="DC17" s="94"/>
      <c r="DD17" s="94"/>
      <c r="DE17" s="94"/>
      <c r="DF17" s="94"/>
      <c r="DG17" s="94"/>
      <c r="DH17" s="94"/>
      <c r="DI17" s="94"/>
      <c r="DJ17" s="94"/>
      <c r="DK17" s="94"/>
      <c r="DL17" s="94"/>
      <c r="DM17" s="94"/>
    </row>
    <row r="18" spans="1:117" ht="15.75" thickBot="1"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</row>
    <row r="19" spans="1:117" ht="15" customHeight="1">
      <c r="A19" s="150" t="s">
        <v>3</v>
      </c>
      <c r="B19" s="153" t="s">
        <v>4</v>
      </c>
      <c r="C19" s="73"/>
      <c r="D19" s="156" t="s">
        <v>5</v>
      </c>
      <c r="E19" s="139" t="s">
        <v>6</v>
      </c>
      <c r="F19" s="133" t="s">
        <v>7</v>
      </c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5"/>
      <c r="AO19" s="144" t="s">
        <v>8</v>
      </c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5"/>
      <c r="BF19" s="145"/>
      <c r="BG19" s="145"/>
      <c r="BH19" s="145"/>
      <c r="BI19" s="145"/>
      <c r="BJ19" s="145"/>
      <c r="BK19" s="145"/>
      <c r="BL19" s="145"/>
      <c r="BM19" s="145"/>
      <c r="BN19" s="145"/>
      <c r="BO19" s="145"/>
      <c r="BP19" s="145"/>
      <c r="BQ19" s="145"/>
      <c r="BR19" s="145"/>
      <c r="BS19" s="145"/>
      <c r="BT19" s="145"/>
      <c r="BU19" s="145"/>
      <c r="BV19" s="145"/>
      <c r="BW19" s="145"/>
      <c r="BX19" s="145"/>
      <c r="BY19" s="145"/>
      <c r="BZ19" s="145"/>
      <c r="CA19" s="145"/>
      <c r="CB19" s="145"/>
      <c r="CC19" s="145"/>
      <c r="CD19" s="145"/>
      <c r="CE19" s="146"/>
      <c r="CF19" s="12"/>
      <c r="CG19" s="1"/>
      <c r="CH19" s="1"/>
      <c r="CI19" s="1"/>
    </row>
    <row r="20" spans="1:117" ht="15" customHeight="1" thickBot="1">
      <c r="A20" s="151"/>
      <c r="B20" s="154"/>
      <c r="C20" s="56"/>
      <c r="D20" s="157"/>
      <c r="E20" s="140"/>
      <c r="F20" s="136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8"/>
      <c r="AO20" s="147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9"/>
      <c r="CF20" s="1"/>
      <c r="CG20" s="1"/>
      <c r="CH20" s="1"/>
      <c r="CI20" s="1"/>
    </row>
    <row r="21" spans="1:117" ht="29.25" customHeight="1">
      <c r="A21" s="151"/>
      <c r="B21" s="154"/>
      <c r="C21" s="56" t="s">
        <v>9</v>
      </c>
      <c r="D21" s="157"/>
      <c r="E21" s="140"/>
      <c r="F21" s="142" t="s">
        <v>10</v>
      </c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62" t="s">
        <v>11</v>
      </c>
      <c r="AO21" s="131" t="s">
        <v>10</v>
      </c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31"/>
      <c r="BB21" s="131"/>
      <c r="BC21" s="131"/>
      <c r="BD21" s="131"/>
      <c r="BE21" s="131"/>
      <c r="BF21" s="131"/>
      <c r="BG21" s="131"/>
      <c r="BH21" s="131"/>
      <c r="BI21" s="131"/>
      <c r="BJ21" s="131"/>
      <c r="BK21" s="131"/>
      <c r="BL21" s="131"/>
      <c r="BM21" s="131"/>
      <c r="BN21" s="131"/>
      <c r="BO21" s="131"/>
      <c r="BP21" s="131"/>
      <c r="BQ21" s="131"/>
      <c r="BR21" s="131"/>
      <c r="BS21" s="131"/>
      <c r="BT21" s="131"/>
      <c r="BU21" s="131"/>
      <c r="BV21" s="131"/>
      <c r="BW21" s="131"/>
      <c r="BX21" s="131"/>
      <c r="BY21" s="131"/>
      <c r="BZ21" s="131"/>
      <c r="CA21" s="131"/>
      <c r="CB21" s="131"/>
      <c r="CC21" s="131"/>
      <c r="CD21" s="131"/>
      <c r="CE21" s="81" t="s">
        <v>12</v>
      </c>
      <c r="CF21" s="15" t="s">
        <v>13</v>
      </c>
      <c r="CG21" s="14" t="s">
        <v>14</v>
      </c>
      <c r="CH21" s="16" t="s">
        <v>15</v>
      </c>
      <c r="CI21" s="14" t="s">
        <v>16</v>
      </c>
    </row>
    <row r="22" spans="1:117" ht="24.95" customHeight="1" thickBot="1">
      <c r="A22" s="152"/>
      <c r="B22" s="155"/>
      <c r="C22" s="74"/>
      <c r="D22" s="158"/>
      <c r="E22" s="141"/>
      <c r="F22" s="57" t="s">
        <v>36</v>
      </c>
      <c r="G22" s="56" t="s">
        <v>17</v>
      </c>
      <c r="H22" s="56" t="s">
        <v>37</v>
      </c>
      <c r="I22" s="56" t="s">
        <v>18</v>
      </c>
      <c r="J22" s="56" t="s">
        <v>19</v>
      </c>
      <c r="K22" s="56" t="s">
        <v>43</v>
      </c>
      <c r="L22" s="56">
        <v>3</v>
      </c>
      <c r="M22" s="56">
        <v>4</v>
      </c>
      <c r="N22" s="56" t="s">
        <v>38</v>
      </c>
      <c r="O22" s="56" t="s">
        <v>39</v>
      </c>
      <c r="P22" s="56" t="s">
        <v>50</v>
      </c>
      <c r="Q22" s="56" t="s">
        <v>51</v>
      </c>
      <c r="R22" s="56">
        <v>6</v>
      </c>
      <c r="S22" s="56">
        <v>7</v>
      </c>
      <c r="T22" s="56">
        <v>8</v>
      </c>
      <c r="U22" s="56">
        <v>9</v>
      </c>
      <c r="V22" s="56" t="s">
        <v>27</v>
      </c>
      <c r="W22" s="56" t="s">
        <v>28</v>
      </c>
      <c r="X22" s="55" t="s">
        <v>52</v>
      </c>
      <c r="Y22" s="55" t="s">
        <v>53</v>
      </c>
      <c r="Z22" s="55" t="s">
        <v>54</v>
      </c>
      <c r="AA22" s="55" t="s">
        <v>30</v>
      </c>
      <c r="AB22" s="59" t="s">
        <v>31</v>
      </c>
      <c r="AC22" s="59" t="s">
        <v>42</v>
      </c>
      <c r="AD22" s="59">
        <v>13</v>
      </c>
      <c r="AE22" s="59" t="s">
        <v>34</v>
      </c>
      <c r="AF22" s="59" t="s">
        <v>35</v>
      </c>
      <c r="AG22" s="59" t="s">
        <v>55</v>
      </c>
      <c r="AH22" s="59" t="s">
        <v>56</v>
      </c>
      <c r="AI22" s="59" t="s">
        <v>57</v>
      </c>
      <c r="AJ22" s="59" t="s">
        <v>58</v>
      </c>
      <c r="AK22" s="59" t="s">
        <v>59</v>
      </c>
      <c r="AL22" s="59" t="s">
        <v>60</v>
      </c>
      <c r="AM22" s="59" t="s">
        <v>79</v>
      </c>
      <c r="AN22" s="61">
        <v>60</v>
      </c>
      <c r="AO22" s="60" t="s">
        <v>36</v>
      </c>
      <c r="AP22" s="60" t="s">
        <v>17</v>
      </c>
      <c r="AQ22" s="60" t="s">
        <v>37</v>
      </c>
      <c r="AR22" s="60" t="s">
        <v>18</v>
      </c>
      <c r="AS22" s="60" t="s">
        <v>19</v>
      </c>
      <c r="AT22" s="60" t="s">
        <v>43</v>
      </c>
      <c r="AU22" s="60" t="s">
        <v>44</v>
      </c>
      <c r="AV22" s="60">
        <v>3</v>
      </c>
      <c r="AW22" s="60" t="s">
        <v>61</v>
      </c>
      <c r="AX22" s="60" t="s">
        <v>62</v>
      </c>
      <c r="AY22" s="60" t="s">
        <v>63</v>
      </c>
      <c r="AZ22" s="60" t="s">
        <v>64</v>
      </c>
      <c r="BA22" s="60" t="s">
        <v>39</v>
      </c>
      <c r="BB22" s="60" t="s">
        <v>40</v>
      </c>
      <c r="BC22" s="60" t="s">
        <v>20</v>
      </c>
      <c r="BD22" s="60" t="s">
        <v>21</v>
      </c>
      <c r="BE22" s="60" t="s">
        <v>22</v>
      </c>
      <c r="BF22" s="60" t="s">
        <v>65</v>
      </c>
      <c r="BG22" s="60" t="s">
        <v>23</v>
      </c>
      <c r="BH22" s="60" t="s">
        <v>24</v>
      </c>
      <c r="BI22" s="60" t="s">
        <v>66</v>
      </c>
      <c r="BJ22" s="60" t="s">
        <v>25</v>
      </c>
      <c r="BK22" s="60" t="s">
        <v>26</v>
      </c>
      <c r="BL22" s="60" t="s">
        <v>27</v>
      </c>
      <c r="BM22" s="60" t="s">
        <v>28</v>
      </c>
      <c r="BN22" s="60" t="s">
        <v>52</v>
      </c>
      <c r="BO22" s="60" t="s">
        <v>67</v>
      </c>
      <c r="BP22" s="60" t="s">
        <v>29</v>
      </c>
      <c r="BQ22" s="60" t="s">
        <v>30</v>
      </c>
      <c r="BR22" s="60" t="s">
        <v>41</v>
      </c>
      <c r="BS22" s="60" t="s">
        <v>31</v>
      </c>
      <c r="BT22" s="60" t="s">
        <v>42</v>
      </c>
      <c r="BU22" s="60" t="s">
        <v>32</v>
      </c>
      <c r="BV22" s="60" t="s">
        <v>33</v>
      </c>
      <c r="BW22" s="60" t="s">
        <v>68</v>
      </c>
      <c r="BX22" s="60" t="s">
        <v>69</v>
      </c>
      <c r="BY22" s="60" t="s">
        <v>34</v>
      </c>
      <c r="BZ22" s="60" t="s">
        <v>35</v>
      </c>
      <c r="CA22" s="60" t="s">
        <v>55</v>
      </c>
      <c r="CB22" s="60" t="s">
        <v>56</v>
      </c>
      <c r="CC22" s="60" t="s">
        <v>57</v>
      </c>
      <c r="CD22" s="60" t="s">
        <v>58</v>
      </c>
      <c r="CE22" s="17">
        <v>80</v>
      </c>
      <c r="CF22" s="18" t="s">
        <v>70</v>
      </c>
      <c r="CG22" s="19">
        <v>0.6</v>
      </c>
      <c r="CH22" s="80">
        <v>0.4</v>
      </c>
      <c r="CI22" s="19">
        <v>1</v>
      </c>
    </row>
    <row r="23" spans="1:117" ht="15" customHeight="1">
      <c r="A23" s="86">
        <v>1</v>
      </c>
      <c r="B23" s="117" t="s">
        <v>81</v>
      </c>
      <c r="C23" s="105" t="s">
        <v>166</v>
      </c>
      <c r="D23" s="109" t="s">
        <v>170</v>
      </c>
      <c r="E23" s="110"/>
      <c r="F23" s="21">
        <v>1</v>
      </c>
      <c r="G23" s="22">
        <v>0</v>
      </c>
      <c r="H23" s="22">
        <v>0</v>
      </c>
      <c r="I23" s="22">
        <v>1</v>
      </c>
      <c r="J23" s="22">
        <v>1</v>
      </c>
      <c r="K23" s="22">
        <v>0</v>
      </c>
      <c r="L23" s="22">
        <v>0</v>
      </c>
      <c r="M23" s="22">
        <v>0</v>
      </c>
      <c r="N23" s="22">
        <v>1</v>
      </c>
      <c r="O23" s="22">
        <v>1</v>
      </c>
      <c r="P23" s="22">
        <v>1</v>
      </c>
      <c r="Q23" s="22">
        <v>1</v>
      </c>
      <c r="R23" s="22">
        <v>1</v>
      </c>
      <c r="S23" s="22">
        <v>1</v>
      </c>
      <c r="T23" s="22">
        <v>2</v>
      </c>
      <c r="U23" s="22">
        <v>1</v>
      </c>
      <c r="V23" s="22">
        <v>1</v>
      </c>
      <c r="W23" s="22">
        <v>0</v>
      </c>
      <c r="X23" s="23">
        <v>1</v>
      </c>
      <c r="Y23" s="23">
        <v>1</v>
      </c>
      <c r="Z23" s="23">
        <v>1</v>
      </c>
      <c r="AA23" s="23">
        <v>1</v>
      </c>
      <c r="AB23" s="22">
        <v>2</v>
      </c>
      <c r="AC23" s="22">
        <v>2</v>
      </c>
      <c r="AD23" s="22">
        <v>2</v>
      </c>
      <c r="AE23" s="22">
        <v>0</v>
      </c>
      <c r="AF23" s="22">
        <v>2</v>
      </c>
      <c r="AG23" s="22">
        <v>0</v>
      </c>
      <c r="AH23" s="22">
        <v>0</v>
      </c>
      <c r="AI23" s="22">
        <v>2</v>
      </c>
      <c r="AJ23" s="22">
        <v>2</v>
      </c>
      <c r="AK23" s="22">
        <v>2</v>
      </c>
      <c r="AL23" s="22">
        <v>2</v>
      </c>
      <c r="AM23" s="22">
        <v>2</v>
      </c>
      <c r="AN23" s="40">
        <f>SUM(F23:AM23)</f>
        <v>35</v>
      </c>
      <c r="AO23" s="25">
        <v>1</v>
      </c>
      <c r="AP23" s="26">
        <v>1</v>
      </c>
      <c r="AQ23" s="26">
        <v>0</v>
      </c>
      <c r="AR23" s="26">
        <v>0</v>
      </c>
      <c r="AS23" s="26">
        <v>0</v>
      </c>
      <c r="AT23" s="26">
        <v>1</v>
      </c>
      <c r="AU23" s="26">
        <v>1</v>
      </c>
      <c r="AV23" s="26">
        <v>1</v>
      </c>
      <c r="AW23" s="26">
        <v>1</v>
      </c>
      <c r="AX23" s="26">
        <v>0</v>
      </c>
      <c r="AY23" s="26">
        <v>2</v>
      </c>
      <c r="AZ23" s="26">
        <v>1</v>
      </c>
      <c r="BA23" s="41">
        <v>1</v>
      </c>
      <c r="BB23" s="41">
        <v>2</v>
      </c>
      <c r="BC23" s="41">
        <v>2</v>
      </c>
      <c r="BD23" s="41">
        <v>1</v>
      </c>
      <c r="BE23" s="41">
        <v>1</v>
      </c>
      <c r="BF23" s="41">
        <v>1</v>
      </c>
      <c r="BG23" s="41">
        <v>1</v>
      </c>
      <c r="BH23" s="41">
        <v>3</v>
      </c>
      <c r="BI23" s="41">
        <v>2</v>
      </c>
      <c r="BJ23" s="41">
        <v>0</v>
      </c>
      <c r="BK23" s="41">
        <v>0</v>
      </c>
      <c r="BL23" s="41">
        <v>1</v>
      </c>
      <c r="BM23" s="41">
        <v>0</v>
      </c>
      <c r="BN23" s="41">
        <v>1</v>
      </c>
      <c r="BO23" s="41">
        <v>1</v>
      </c>
      <c r="BP23" s="41">
        <v>0</v>
      </c>
      <c r="BQ23" s="41">
        <v>0</v>
      </c>
      <c r="BR23" s="41">
        <v>0</v>
      </c>
      <c r="BS23" s="41">
        <v>2</v>
      </c>
      <c r="BT23" s="41">
        <v>3</v>
      </c>
      <c r="BU23" s="41">
        <v>1</v>
      </c>
      <c r="BV23" s="41">
        <v>1</v>
      </c>
      <c r="BW23" s="41">
        <v>0</v>
      </c>
      <c r="BX23" s="41">
        <v>2</v>
      </c>
      <c r="BY23" s="41">
        <v>0</v>
      </c>
      <c r="BZ23" s="41">
        <v>0</v>
      </c>
      <c r="CA23" s="41">
        <v>2</v>
      </c>
      <c r="CB23" s="41">
        <v>0</v>
      </c>
      <c r="CC23" s="41">
        <v>0</v>
      </c>
      <c r="CD23" s="41">
        <v>0</v>
      </c>
      <c r="CE23" s="63">
        <f>SUM(AO23:CD23)</f>
        <v>37</v>
      </c>
      <c r="CF23" s="63">
        <f>SUM(AN23,CE23)</f>
        <v>72</v>
      </c>
      <c r="CG23" s="64">
        <f>SUM(CF23/140*60)</f>
        <v>30.857142857142854</v>
      </c>
      <c r="CH23" s="113">
        <v>26</v>
      </c>
      <c r="CI23" s="115">
        <f>SUM(CG23,CH23)</f>
        <v>56.857142857142854</v>
      </c>
    </row>
    <row r="24" spans="1:117" ht="15" customHeight="1">
      <c r="A24" s="20">
        <v>2</v>
      </c>
      <c r="B24" s="117" t="s">
        <v>82</v>
      </c>
      <c r="C24" s="106" t="s">
        <v>166</v>
      </c>
      <c r="D24" s="109" t="s">
        <v>170</v>
      </c>
      <c r="E24" s="110"/>
      <c r="F24" s="21">
        <v>1</v>
      </c>
      <c r="G24" s="22">
        <v>1</v>
      </c>
      <c r="H24" s="22">
        <v>1</v>
      </c>
      <c r="I24" s="22">
        <v>1</v>
      </c>
      <c r="J24" s="22">
        <v>1</v>
      </c>
      <c r="K24" s="22">
        <v>1</v>
      </c>
      <c r="L24" s="22">
        <v>2</v>
      </c>
      <c r="M24" s="22">
        <v>2</v>
      </c>
      <c r="N24" s="22">
        <v>1</v>
      </c>
      <c r="O24" s="22">
        <v>1</v>
      </c>
      <c r="P24" s="22">
        <v>1</v>
      </c>
      <c r="Q24" s="22">
        <v>1</v>
      </c>
      <c r="R24" s="22">
        <v>2</v>
      </c>
      <c r="S24" s="22">
        <v>2</v>
      </c>
      <c r="T24" s="22">
        <v>2</v>
      </c>
      <c r="U24" s="22">
        <v>3</v>
      </c>
      <c r="V24" s="22">
        <v>0</v>
      </c>
      <c r="W24" s="22">
        <v>0</v>
      </c>
      <c r="X24" s="23">
        <v>2</v>
      </c>
      <c r="Y24" s="23">
        <v>1</v>
      </c>
      <c r="Z24" s="23">
        <v>1</v>
      </c>
      <c r="AA24" s="23">
        <v>2</v>
      </c>
      <c r="AB24" s="22">
        <v>2</v>
      </c>
      <c r="AC24" s="22">
        <v>2</v>
      </c>
      <c r="AD24" s="22">
        <v>3</v>
      </c>
      <c r="AE24" s="22">
        <v>2</v>
      </c>
      <c r="AF24" s="22">
        <v>2</v>
      </c>
      <c r="AG24" s="22">
        <v>1</v>
      </c>
      <c r="AH24" s="22">
        <v>1</v>
      </c>
      <c r="AI24" s="22">
        <v>2</v>
      </c>
      <c r="AJ24" s="22">
        <v>3</v>
      </c>
      <c r="AK24" s="22">
        <v>2</v>
      </c>
      <c r="AL24" s="22">
        <v>1</v>
      </c>
      <c r="AM24" s="22">
        <v>1</v>
      </c>
      <c r="AN24" s="40">
        <f t="shared" ref="AN24:AN87" si="0">SUM(F24:AM24)</f>
        <v>51</v>
      </c>
      <c r="AO24" s="25">
        <v>2</v>
      </c>
      <c r="AP24" s="26">
        <v>1</v>
      </c>
      <c r="AQ24" s="26">
        <v>1</v>
      </c>
      <c r="AR24" s="26">
        <v>1</v>
      </c>
      <c r="AS24" s="26">
        <v>1</v>
      </c>
      <c r="AT24" s="26">
        <v>3</v>
      </c>
      <c r="AU24" s="26">
        <v>1</v>
      </c>
      <c r="AV24" s="26">
        <v>4</v>
      </c>
      <c r="AW24" s="26">
        <v>1</v>
      </c>
      <c r="AX24" s="26">
        <v>3</v>
      </c>
      <c r="AY24" s="26">
        <v>2</v>
      </c>
      <c r="AZ24" s="26">
        <v>1</v>
      </c>
      <c r="BA24" s="26">
        <v>3</v>
      </c>
      <c r="BB24" s="26">
        <v>2</v>
      </c>
      <c r="BC24" s="26">
        <v>2</v>
      </c>
      <c r="BD24" s="26">
        <v>1</v>
      </c>
      <c r="BE24" s="26">
        <v>1</v>
      </c>
      <c r="BF24" s="26">
        <v>0</v>
      </c>
      <c r="BG24" s="26">
        <v>1</v>
      </c>
      <c r="BH24" s="26">
        <v>3</v>
      </c>
      <c r="BI24" s="26">
        <v>2</v>
      </c>
      <c r="BJ24" s="26">
        <v>2</v>
      </c>
      <c r="BK24" s="26">
        <v>2</v>
      </c>
      <c r="BL24" s="26">
        <v>2</v>
      </c>
      <c r="BM24" s="26">
        <v>1</v>
      </c>
      <c r="BN24" s="26">
        <v>1</v>
      </c>
      <c r="BO24" s="26">
        <v>1</v>
      </c>
      <c r="BP24" s="26">
        <v>0</v>
      </c>
      <c r="BQ24" s="26">
        <v>1</v>
      </c>
      <c r="BR24" s="26">
        <v>0</v>
      </c>
      <c r="BS24" s="26">
        <v>2</v>
      </c>
      <c r="BT24" s="26">
        <v>3</v>
      </c>
      <c r="BU24" s="26">
        <v>2</v>
      </c>
      <c r="BV24" s="26">
        <v>0</v>
      </c>
      <c r="BW24" s="26">
        <v>2</v>
      </c>
      <c r="BX24" s="26">
        <v>0</v>
      </c>
      <c r="BY24" s="26">
        <v>2</v>
      </c>
      <c r="BZ24" s="26">
        <v>0</v>
      </c>
      <c r="CA24" s="26">
        <v>2</v>
      </c>
      <c r="CB24" s="26">
        <v>0</v>
      </c>
      <c r="CC24" s="26">
        <v>0</v>
      </c>
      <c r="CD24" s="26">
        <v>4</v>
      </c>
      <c r="CE24" s="63">
        <f t="shared" ref="CE24:CE87" si="1">SUM(AO24:CD24)</f>
        <v>63</v>
      </c>
      <c r="CF24" s="63">
        <f t="shared" ref="CF24:CF87" si="2">SUM(AN24,CE24)</f>
        <v>114</v>
      </c>
      <c r="CG24" s="64">
        <f t="shared" ref="CG24:CG87" si="3">SUM(CF24/140*60)</f>
        <v>48.857142857142854</v>
      </c>
      <c r="CH24" s="114">
        <v>29.8</v>
      </c>
      <c r="CI24" s="115">
        <f t="shared" ref="CI24:CI87" si="4">SUM(CG24,CH24)</f>
        <v>78.657142857142858</v>
      </c>
    </row>
    <row r="25" spans="1:117" ht="15" customHeight="1">
      <c r="A25" s="20">
        <v>3</v>
      </c>
      <c r="B25" s="117" t="s">
        <v>83</v>
      </c>
      <c r="C25" s="106" t="s">
        <v>166</v>
      </c>
      <c r="D25" s="109" t="s">
        <v>170</v>
      </c>
      <c r="E25" s="111"/>
      <c r="F25" s="21">
        <v>1</v>
      </c>
      <c r="G25" s="22">
        <v>1</v>
      </c>
      <c r="H25" s="22">
        <v>1</v>
      </c>
      <c r="I25" s="22">
        <v>0</v>
      </c>
      <c r="J25" s="22">
        <v>0</v>
      </c>
      <c r="K25" s="22">
        <v>1</v>
      </c>
      <c r="L25" s="22">
        <v>2</v>
      </c>
      <c r="M25" s="22">
        <v>1</v>
      </c>
      <c r="N25" s="22">
        <v>1</v>
      </c>
      <c r="O25" s="22">
        <v>1</v>
      </c>
      <c r="P25" s="22">
        <v>1</v>
      </c>
      <c r="Q25" s="22">
        <v>1</v>
      </c>
      <c r="R25" s="22">
        <v>0</v>
      </c>
      <c r="S25" s="22">
        <v>2</v>
      </c>
      <c r="T25" s="22">
        <v>2</v>
      </c>
      <c r="U25" s="22">
        <v>0</v>
      </c>
      <c r="V25" s="22">
        <v>1</v>
      </c>
      <c r="W25" s="22">
        <v>2</v>
      </c>
      <c r="X25" s="23">
        <v>2</v>
      </c>
      <c r="Y25" s="23">
        <v>1</v>
      </c>
      <c r="Z25" s="23">
        <v>0</v>
      </c>
      <c r="AA25" s="23">
        <v>2</v>
      </c>
      <c r="AB25" s="22">
        <v>2</v>
      </c>
      <c r="AC25" s="22">
        <v>2</v>
      </c>
      <c r="AD25" s="22">
        <v>2</v>
      </c>
      <c r="AE25" s="22">
        <v>2</v>
      </c>
      <c r="AF25" s="22">
        <v>0</v>
      </c>
      <c r="AG25" s="22">
        <v>0</v>
      </c>
      <c r="AH25" s="22">
        <v>0</v>
      </c>
      <c r="AI25" s="22">
        <v>2</v>
      </c>
      <c r="AJ25" s="22">
        <v>3</v>
      </c>
      <c r="AK25" s="22">
        <v>2</v>
      </c>
      <c r="AL25" s="22">
        <v>0</v>
      </c>
      <c r="AM25" s="22">
        <v>0</v>
      </c>
      <c r="AN25" s="40">
        <f t="shared" si="0"/>
        <v>38</v>
      </c>
      <c r="AO25" s="25">
        <v>0</v>
      </c>
      <c r="AP25" s="26">
        <v>1</v>
      </c>
      <c r="AQ25" s="26">
        <v>0</v>
      </c>
      <c r="AR25" s="26">
        <v>1</v>
      </c>
      <c r="AS25" s="26">
        <v>0</v>
      </c>
      <c r="AT25" s="26">
        <v>0</v>
      </c>
      <c r="AU25" s="26">
        <v>1</v>
      </c>
      <c r="AV25" s="26">
        <v>4</v>
      </c>
      <c r="AW25" s="26">
        <v>1</v>
      </c>
      <c r="AX25" s="26">
        <v>2</v>
      </c>
      <c r="AY25" s="26">
        <v>2</v>
      </c>
      <c r="AZ25" s="26">
        <v>1</v>
      </c>
      <c r="BA25" s="26">
        <v>0</v>
      </c>
      <c r="BB25" s="26">
        <v>2</v>
      </c>
      <c r="BC25" s="26">
        <v>1</v>
      </c>
      <c r="BD25" s="26">
        <v>1</v>
      </c>
      <c r="BE25" s="26">
        <v>1</v>
      </c>
      <c r="BF25" s="26">
        <v>0</v>
      </c>
      <c r="BG25" s="26">
        <v>1</v>
      </c>
      <c r="BH25" s="26">
        <v>0</v>
      </c>
      <c r="BI25" s="26">
        <v>0</v>
      </c>
      <c r="BJ25" s="26">
        <v>2</v>
      </c>
      <c r="BK25" s="26">
        <v>2</v>
      </c>
      <c r="BL25" s="26">
        <v>0</v>
      </c>
      <c r="BM25" s="26">
        <v>0</v>
      </c>
      <c r="BN25" s="26">
        <v>0</v>
      </c>
      <c r="BO25" s="26">
        <v>0</v>
      </c>
      <c r="BP25" s="26">
        <v>1</v>
      </c>
      <c r="BQ25" s="26">
        <v>2</v>
      </c>
      <c r="BR25" s="26">
        <v>0</v>
      </c>
      <c r="BS25" s="26">
        <v>2</v>
      </c>
      <c r="BT25" s="26">
        <v>3</v>
      </c>
      <c r="BU25" s="26">
        <v>2</v>
      </c>
      <c r="BV25" s="26">
        <v>1</v>
      </c>
      <c r="BW25" s="26">
        <v>2</v>
      </c>
      <c r="BX25" s="26">
        <v>0</v>
      </c>
      <c r="BY25" s="26">
        <v>2</v>
      </c>
      <c r="BZ25" s="26">
        <v>2</v>
      </c>
      <c r="CA25" s="26">
        <v>2</v>
      </c>
      <c r="CB25" s="26">
        <v>0</v>
      </c>
      <c r="CC25" s="26">
        <v>2</v>
      </c>
      <c r="CD25" s="26">
        <v>0</v>
      </c>
      <c r="CE25" s="63">
        <f t="shared" si="1"/>
        <v>44</v>
      </c>
      <c r="CF25" s="63">
        <f t="shared" si="2"/>
        <v>82</v>
      </c>
      <c r="CG25" s="64">
        <f t="shared" si="3"/>
        <v>35.142857142857146</v>
      </c>
      <c r="CH25" s="114">
        <v>27</v>
      </c>
      <c r="CI25" s="115">
        <f t="shared" si="4"/>
        <v>62.142857142857146</v>
      </c>
    </row>
    <row r="26" spans="1:117" ht="15.75" customHeight="1">
      <c r="A26" s="20">
        <v>4</v>
      </c>
      <c r="B26" s="117" t="s">
        <v>84</v>
      </c>
      <c r="C26" s="106" t="s">
        <v>166</v>
      </c>
      <c r="D26" s="109" t="s">
        <v>170</v>
      </c>
      <c r="E26" s="110"/>
      <c r="F26" s="21">
        <v>1</v>
      </c>
      <c r="G26" s="22">
        <v>0</v>
      </c>
      <c r="H26" s="22">
        <v>0</v>
      </c>
      <c r="I26" s="22">
        <v>1</v>
      </c>
      <c r="J26" s="22">
        <v>1</v>
      </c>
      <c r="K26" s="22">
        <v>1</v>
      </c>
      <c r="L26" s="22">
        <v>0</v>
      </c>
      <c r="M26" s="22">
        <v>1</v>
      </c>
      <c r="N26" s="22">
        <v>1</v>
      </c>
      <c r="O26" s="22">
        <v>1</v>
      </c>
      <c r="P26" s="22">
        <v>1</v>
      </c>
      <c r="Q26" s="22">
        <v>1</v>
      </c>
      <c r="R26" s="22">
        <v>1</v>
      </c>
      <c r="S26" s="22">
        <v>1</v>
      </c>
      <c r="T26" s="22">
        <v>2</v>
      </c>
      <c r="U26" s="22">
        <v>2</v>
      </c>
      <c r="V26" s="22">
        <v>0</v>
      </c>
      <c r="W26" s="22">
        <v>0</v>
      </c>
      <c r="X26" s="23">
        <v>2</v>
      </c>
      <c r="Y26" s="23">
        <v>1</v>
      </c>
      <c r="Z26" s="23">
        <v>1</v>
      </c>
      <c r="AA26" s="23">
        <v>2</v>
      </c>
      <c r="AB26" s="22">
        <v>2</v>
      </c>
      <c r="AC26" s="22">
        <v>2</v>
      </c>
      <c r="AD26" s="22">
        <v>3</v>
      </c>
      <c r="AE26" s="22">
        <v>2</v>
      </c>
      <c r="AF26" s="22">
        <v>2</v>
      </c>
      <c r="AG26" s="22">
        <v>0</v>
      </c>
      <c r="AH26" s="22">
        <v>0</v>
      </c>
      <c r="AI26" s="22">
        <v>0</v>
      </c>
      <c r="AJ26" s="22">
        <v>3</v>
      </c>
      <c r="AK26" s="22">
        <v>2</v>
      </c>
      <c r="AL26" s="22">
        <v>0</v>
      </c>
      <c r="AM26" s="22">
        <v>0</v>
      </c>
      <c r="AN26" s="40">
        <f t="shared" si="0"/>
        <v>37</v>
      </c>
      <c r="AO26" s="25">
        <v>2</v>
      </c>
      <c r="AP26" s="26">
        <v>1</v>
      </c>
      <c r="AQ26" s="26">
        <v>2</v>
      </c>
      <c r="AR26" s="26">
        <v>0</v>
      </c>
      <c r="AS26" s="26">
        <v>0</v>
      </c>
      <c r="AT26" s="26">
        <v>0</v>
      </c>
      <c r="AU26" s="26">
        <v>1</v>
      </c>
      <c r="AV26" s="26">
        <v>0</v>
      </c>
      <c r="AW26" s="26">
        <v>1</v>
      </c>
      <c r="AX26" s="26">
        <v>0</v>
      </c>
      <c r="AY26" s="26">
        <v>2</v>
      </c>
      <c r="AZ26" s="26">
        <v>1</v>
      </c>
      <c r="BA26" s="26">
        <v>0</v>
      </c>
      <c r="BB26" s="26">
        <v>2</v>
      </c>
      <c r="BC26" s="26">
        <v>2</v>
      </c>
      <c r="BD26" s="26">
        <v>1</v>
      </c>
      <c r="BE26" s="26">
        <v>0</v>
      </c>
      <c r="BF26" s="26">
        <v>1</v>
      </c>
      <c r="BG26" s="26">
        <v>1</v>
      </c>
      <c r="BH26" s="26">
        <v>0</v>
      </c>
      <c r="BI26" s="26">
        <v>1</v>
      </c>
      <c r="BJ26" s="26">
        <v>2</v>
      </c>
      <c r="BK26" s="26">
        <v>0</v>
      </c>
      <c r="BL26" s="26">
        <v>1</v>
      </c>
      <c r="BM26" s="26">
        <v>0</v>
      </c>
      <c r="BN26" s="26">
        <v>1</v>
      </c>
      <c r="BO26" s="26">
        <v>1</v>
      </c>
      <c r="BP26" s="26">
        <v>1</v>
      </c>
      <c r="BQ26" s="26">
        <v>1</v>
      </c>
      <c r="BR26" s="26">
        <v>0</v>
      </c>
      <c r="BS26" s="26">
        <v>2</v>
      </c>
      <c r="BT26" s="26">
        <v>3</v>
      </c>
      <c r="BU26" s="26">
        <v>2</v>
      </c>
      <c r="BV26" s="26">
        <v>0</v>
      </c>
      <c r="BW26" s="26">
        <v>0</v>
      </c>
      <c r="BX26" s="26">
        <v>0</v>
      </c>
      <c r="BY26" s="26">
        <v>2</v>
      </c>
      <c r="BZ26" s="26">
        <v>1</v>
      </c>
      <c r="CA26" s="26">
        <v>2</v>
      </c>
      <c r="CB26" s="26">
        <v>0</v>
      </c>
      <c r="CC26" s="26">
        <v>2</v>
      </c>
      <c r="CD26" s="26">
        <v>0</v>
      </c>
      <c r="CE26" s="63">
        <f t="shared" si="1"/>
        <v>39</v>
      </c>
      <c r="CF26" s="63">
        <f t="shared" si="2"/>
        <v>76</v>
      </c>
      <c r="CG26" s="64">
        <f t="shared" si="3"/>
        <v>32.571428571428569</v>
      </c>
      <c r="CH26" s="114">
        <v>22</v>
      </c>
      <c r="CI26" s="115">
        <f t="shared" si="4"/>
        <v>54.571428571428569</v>
      </c>
    </row>
    <row r="27" spans="1:117" ht="15" customHeight="1">
      <c r="A27" s="20">
        <v>5</v>
      </c>
      <c r="B27" s="117" t="s">
        <v>85</v>
      </c>
      <c r="C27" s="106" t="s">
        <v>166</v>
      </c>
      <c r="D27" s="109" t="s">
        <v>170</v>
      </c>
      <c r="E27" s="110"/>
      <c r="F27" s="21">
        <v>0</v>
      </c>
      <c r="G27" s="22">
        <v>0</v>
      </c>
      <c r="H27" s="22">
        <v>0</v>
      </c>
      <c r="I27" s="22">
        <v>0</v>
      </c>
      <c r="J27" s="22">
        <v>0</v>
      </c>
      <c r="K27" s="22">
        <v>1</v>
      </c>
      <c r="L27" s="22">
        <v>1</v>
      </c>
      <c r="M27" s="22">
        <v>1</v>
      </c>
      <c r="N27" s="22">
        <v>1</v>
      </c>
      <c r="O27" s="22">
        <v>1</v>
      </c>
      <c r="P27" s="22">
        <v>1</v>
      </c>
      <c r="Q27" s="22">
        <v>1</v>
      </c>
      <c r="R27" s="22">
        <v>2</v>
      </c>
      <c r="S27" s="22">
        <v>1</v>
      </c>
      <c r="T27" s="22">
        <v>0</v>
      </c>
      <c r="U27" s="22">
        <v>1</v>
      </c>
      <c r="V27" s="22">
        <v>0</v>
      </c>
      <c r="W27" s="22">
        <v>0</v>
      </c>
      <c r="X27" s="23">
        <v>2</v>
      </c>
      <c r="Y27" s="23">
        <v>1</v>
      </c>
      <c r="Z27" s="23">
        <v>1</v>
      </c>
      <c r="AA27" s="23">
        <v>0</v>
      </c>
      <c r="AB27" s="22">
        <v>1</v>
      </c>
      <c r="AC27" s="22">
        <v>0</v>
      </c>
      <c r="AD27" s="22">
        <v>2</v>
      </c>
      <c r="AE27" s="22">
        <v>2</v>
      </c>
      <c r="AF27" s="22">
        <v>0</v>
      </c>
      <c r="AG27" s="22">
        <v>0</v>
      </c>
      <c r="AH27" s="22">
        <v>0</v>
      </c>
      <c r="AI27" s="22">
        <v>2</v>
      </c>
      <c r="AJ27" s="22">
        <v>2</v>
      </c>
      <c r="AK27" s="22">
        <v>2</v>
      </c>
      <c r="AL27" s="22">
        <v>0</v>
      </c>
      <c r="AM27" s="22">
        <v>0</v>
      </c>
      <c r="AN27" s="40">
        <f t="shared" si="0"/>
        <v>26</v>
      </c>
      <c r="AO27" s="25">
        <v>1</v>
      </c>
      <c r="AP27" s="26">
        <v>1</v>
      </c>
      <c r="AQ27" s="26">
        <v>0</v>
      </c>
      <c r="AR27" s="26">
        <v>0</v>
      </c>
      <c r="AS27" s="26">
        <v>0</v>
      </c>
      <c r="AT27" s="26">
        <v>1</v>
      </c>
      <c r="AU27" s="26">
        <v>2</v>
      </c>
      <c r="AV27" s="26">
        <v>1</v>
      </c>
      <c r="AW27" s="26">
        <v>0</v>
      </c>
      <c r="AX27" s="26">
        <v>0</v>
      </c>
      <c r="AY27" s="26">
        <v>2</v>
      </c>
      <c r="AZ27" s="26">
        <v>1</v>
      </c>
      <c r="BA27" s="26">
        <v>3</v>
      </c>
      <c r="BB27" s="26">
        <v>2</v>
      </c>
      <c r="BC27" s="26">
        <v>0</v>
      </c>
      <c r="BD27" s="26">
        <v>0</v>
      </c>
      <c r="BE27" s="26">
        <v>1</v>
      </c>
      <c r="BF27" s="26">
        <v>0</v>
      </c>
      <c r="BG27" s="26">
        <v>1</v>
      </c>
      <c r="BH27" s="26">
        <v>2</v>
      </c>
      <c r="BI27" s="26">
        <v>0</v>
      </c>
      <c r="BJ27" s="26">
        <v>2</v>
      </c>
      <c r="BK27" s="26">
        <v>0</v>
      </c>
      <c r="BL27" s="26" t="s">
        <v>172</v>
      </c>
      <c r="BM27" s="26" t="s">
        <v>172</v>
      </c>
      <c r="BN27" s="26">
        <v>1</v>
      </c>
      <c r="BO27" s="26">
        <v>0</v>
      </c>
      <c r="BP27" s="26">
        <v>1</v>
      </c>
      <c r="BQ27" s="26">
        <v>1</v>
      </c>
      <c r="BR27" s="26">
        <v>0</v>
      </c>
      <c r="BS27" s="26">
        <v>0</v>
      </c>
      <c r="BT27" s="26">
        <v>0</v>
      </c>
      <c r="BU27" s="26">
        <v>1</v>
      </c>
      <c r="BV27" s="26">
        <v>0</v>
      </c>
      <c r="BW27" s="26">
        <v>0</v>
      </c>
      <c r="BX27" s="26">
        <v>0</v>
      </c>
      <c r="BY27" s="26">
        <v>0</v>
      </c>
      <c r="BZ27" s="26">
        <v>0</v>
      </c>
      <c r="CA27" s="26">
        <v>1</v>
      </c>
      <c r="CB27" s="26" t="s">
        <v>172</v>
      </c>
      <c r="CC27" s="26" t="s">
        <v>172</v>
      </c>
      <c r="CD27" s="26" t="s">
        <v>172</v>
      </c>
      <c r="CE27" s="63">
        <f t="shared" si="1"/>
        <v>25</v>
      </c>
      <c r="CF27" s="63">
        <f t="shared" si="2"/>
        <v>51</v>
      </c>
      <c r="CG27" s="64">
        <f t="shared" si="3"/>
        <v>21.857142857142858</v>
      </c>
      <c r="CH27" s="114">
        <v>18.8</v>
      </c>
      <c r="CI27" s="115">
        <f t="shared" si="4"/>
        <v>40.657142857142858</v>
      </c>
    </row>
    <row r="28" spans="1:117" ht="15" customHeight="1">
      <c r="A28" s="20">
        <v>6</v>
      </c>
      <c r="B28" s="117" t="s">
        <v>86</v>
      </c>
      <c r="C28" s="106" t="s">
        <v>166</v>
      </c>
      <c r="D28" s="109" t="s">
        <v>170</v>
      </c>
      <c r="E28" s="110"/>
      <c r="F28" s="21">
        <v>0</v>
      </c>
      <c r="G28" s="22">
        <v>1</v>
      </c>
      <c r="H28" s="22">
        <v>1</v>
      </c>
      <c r="I28" s="22">
        <v>1</v>
      </c>
      <c r="J28" s="22">
        <v>1</v>
      </c>
      <c r="K28" s="22">
        <v>1</v>
      </c>
      <c r="L28" s="22">
        <v>2</v>
      </c>
      <c r="M28" s="22">
        <v>1</v>
      </c>
      <c r="N28" s="22">
        <v>1</v>
      </c>
      <c r="O28" s="22">
        <v>1</v>
      </c>
      <c r="P28" s="22">
        <v>1</v>
      </c>
      <c r="Q28" s="22">
        <v>1</v>
      </c>
      <c r="R28" s="22">
        <v>2</v>
      </c>
      <c r="S28" s="22">
        <v>2</v>
      </c>
      <c r="T28" s="22">
        <v>3</v>
      </c>
      <c r="U28" s="22">
        <v>1</v>
      </c>
      <c r="V28" s="22">
        <v>0</v>
      </c>
      <c r="W28" s="22">
        <v>1</v>
      </c>
      <c r="X28" s="23">
        <v>2</v>
      </c>
      <c r="Y28" s="23">
        <v>1</v>
      </c>
      <c r="Z28" s="23">
        <v>1</v>
      </c>
      <c r="AA28" s="23">
        <v>2</v>
      </c>
      <c r="AB28" s="22">
        <v>2</v>
      </c>
      <c r="AC28" s="22">
        <v>2</v>
      </c>
      <c r="AD28" s="22">
        <v>0</v>
      </c>
      <c r="AE28" s="22">
        <v>2</v>
      </c>
      <c r="AF28" s="22">
        <v>2</v>
      </c>
      <c r="AG28" s="22">
        <v>1</v>
      </c>
      <c r="AH28" s="22">
        <v>0</v>
      </c>
      <c r="AI28" s="22">
        <v>2</v>
      </c>
      <c r="AJ28" s="22">
        <v>2</v>
      </c>
      <c r="AK28" s="22">
        <v>1</v>
      </c>
      <c r="AL28" s="22">
        <v>2</v>
      </c>
      <c r="AM28" s="22">
        <v>1</v>
      </c>
      <c r="AN28" s="40">
        <f t="shared" si="0"/>
        <v>44</v>
      </c>
      <c r="AO28" s="25">
        <v>2</v>
      </c>
      <c r="AP28" s="26">
        <v>1</v>
      </c>
      <c r="AQ28" s="26">
        <v>0</v>
      </c>
      <c r="AR28" s="26">
        <v>1</v>
      </c>
      <c r="AS28" s="26">
        <v>2</v>
      </c>
      <c r="AT28" s="26">
        <v>1</v>
      </c>
      <c r="AU28" s="26">
        <v>1</v>
      </c>
      <c r="AV28" s="26">
        <v>4</v>
      </c>
      <c r="AW28" s="26">
        <v>1</v>
      </c>
      <c r="AX28" s="26">
        <v>0</v>
      </c>
      <c r="AY28" s="26">
        <v>0</v>
      </c>
      <c r="AZ28" s="26">
        <v>0</v>
      </c>
      <c r="BA28" s="26">
        <v>1</v>
      </c>
      <c r="BB28" s="26">
        <v>2</v>
      </c>
      <c r="BC28" s="26">
        <v>2</v>
      </c>
      <c r="BD28" s="26">
        <v>1</v>
      </c>
      <c r="BE28" s="26">
        <v>1</v>
      </c>
      <c r="BF28" s="26">
        <v>1</v>
      </c>
      <c r="BG28" s="26">
        <v>1</v>
      </c>
      <c r="BH28" s="26">
        <v>3</v>
      </c>
      <c r="BI28" s="26">
        <v>0</v>
      </c>
      <c r="BJ28" s="26">
        <v>2</v>
      </c>
      <c r="BK28" s="26">
        <v>0</v>
      </c>
      <c r="BL28" s="26">
        <v>1</v>
      </c>
      <c r="BM28" s="26">
        <v>1</v>
      </c>
      <c r="BN28" s="26">
        <v>1</v>
      </c>
      <c r="BO28" s="26">
        <v>1</v>
      </c>
      <c r="BP28" s="26">
        <v>1</v>
      </c>
      <c r="BQ28" s="26">
        <v>2</v>
      </c>
      <c r="BR28" s="26">
        <v>0</v>
      </c>
      <c r="BS28" s="26">
        <v>2</v>
      </c>
      <c r="BT28" s="26">
        <v>3</v>
      </c>
      <c r="BU28" s="26">
        <v>2</v>
      </c>
      <c r="BV28" s="26">
        <v>0</v>
      </c>
      <c r="BW28" s="26">
        <v>0</v>
      </c>
      <c r="BX28" s="26">
        <v>0</v>
      </c>
      <c r="BY28" s="26">
        <v>2</v>
      </c>
      <c r="BZ28" s="26">
        <v>1</v>
      </c>
      <c r="CA28" s="26">
        <v>2</v>
      </c>
      <c r="CB28" s="26">
        <v>0</v>
      </c>
      <c r="CC28" s="26">
        <v>0</v>
      </c>
      <c r="CD28" s="26">
        <v>0</v>
      </c>
      <c r="CE28" s="63">
        <f t="shared" si="1"/>
        <v>46</v>
      </c>
      <c r="CF28" s="63">
        <f t="shared" si="2"/>
        <v>90</v>
      </c>
      <c r="CG28" s="64">
        <f t="shared" si="3"/>
        <v>38.571428571428577</v>
      </c>
      <c r="CH28" s="114">
        <v>20</v>
      </c>
      <c r="CI28" s="115">
        <f t="shared" si="4"/>
        <v>58.571428571428577</v>
      </c>
    </row>
    <row r="29" spans="1:117" ht="15" customHeight="1">
      <c r="A29" s="20">
        <v>7</v>
      </c>
      <c r="B29" s="117" t="s">
        <v>87</v>
      </c>
      <c r="C29" s="106" t="s">
        <v>166</v>
      </c>
      <c r="D29" s="109" t="s">
        <v>170</v>
      </c>
      <c r="E29" s="110"/>
      <c r="F29" s="21">
        <v>1</v>
      </c>
      <c r="G29" s="22">
        <v>1</v>
      </c>
      <c r="H29" s="22">
        <v>1</v>
      </c>
      <c r="I29" s="22">
        <v>1</v>
      </c>
      <c r="J29" s="22">
        <v>0</v>
      </c>
      <c r="K29" s="22">
        <v>1</v>
      </c>
      <c r="L29" s="22">
        <v>0</v>
      </c>
      <c r="M29" s="22">
        <v>1</v>
      </c>
      <c r="N29" s="22">
        <v>1</v>
      </c>
      <c r="O29" s="22">
        <v>1</v>
      </c>
      <c r="P29" s="22">
        <v>1</v>
      </c>
      <c r="Q29" s="22">
        <v>1</v>
      </c>
      <c r="R29" s="22">
        <v>0</v>
      </c>
      <c r="S29" s="22">
        <v>1</v>
      </c>
      <c r="T29" s="22">
        <v>1</v>
      </c>
      <c r="U29" s="22">
        <v>1</v>
      </c>
      <c r="V29" s="22">
        <v>0</v>
      </c>
      <c r="W29" s="22">
        <v>0</v>
      </c>
      <c r="X29" s="23">
        <v>1</v>
      </c>
      <c r="Y29" s="23">
        <v>1</v>
      </c>
      <c r="Z29" s="23">
        <v>0</v>
      </c>
      <c r="AA29" s="23">
        <v>2</v>
      </c>
      <c r="AB29" s="22">
        <v>1</v>
      </c>
      <c r="AC29" s="22">
        <v>0</v>
      </c>
      <c r="AD29" s="22">
        <v>1</v>
      </c>
      <c r="AE29" s="22">
        <v>0</v>
      </c>
      <c r="AF29" s="22">
        <v>0</v>
      </c>
      <c r="AG29" s="22">
        <v>0</v>
      </c>
      <c r="AH29" s="22" t="s">
        <v>172</v>
      </c>
      <c r="AI29" s="22">
        <v>0</v>
      </c>
      <c r="AJ29" s="22">
        <v>0</v>
      </c>
      <c r="AK29" s="22">
        <v>0</v>
      </c>
      <c r="AL29" s="22">
        <v>0</v>
      </c>
      <c r="AM29" s="22" t="s">
        <v>172</v>
      </c>
      <c r="AN29" s="40">
        <f t="shared" si="0"/>
        <v>19</v>
      </c>
      <c r="AO29" s="25">
        <v>1</v>
      </c>
      <c r="AP29" s="26">
        <v>1</v>
      </c>
      <c r="AQ29" s="26">
        <v>1</v>
      </c>
      <c r="AR29" s="26" t="s">
        <v>172</v>
      </c>
      <c r="AS29" s="26">
        <v>0</v>
      </c>
      <c r="AT29" s="26">
        <v>0</v>
      </c>
      <c r="AU29" s="26">
        <v>0</v>
      </c>
      <c r="AV29" s="26">
        <v>1</v>
      </c>
      <c r="AW29" s="26">
        <v>0</v>
      </c>
      <c r="AX29" s="26">
        <v>0</v>
      </c>
      <c r="AY29" s="26">
        <v>0</v>
      </c>
      <c r="AZ29" s="26">
        <v>0</v>
      </c>
      <c r="BA29" s="26">
        <v>0</v>
      </c>
      <c r="BB29" s="26">
        <v>1</v>
      </c>
      <c r="BC29" s="26">
        <v>0</v>
      </c>
      <c r="BD29" s="26">
        <v>1</v>
      </c>
      <c r="BE29" s="26">
        <v>1</v>
      </c>
      <c r="BF29" s="26">
        <v>0</v>
      </c>
      <c r="BG29" s="26">
        <v>1</v>
      </c>
      <c r="BH29" s="26">
        <v>1</v>
      </c>
      <c r="BI29" s="26">
        <v>0</v>
      </c>
      <c r="BJ29" s="26" t="s">
        <v>172</v>
      </c>
      <c r="BK29" s="26" t="s">
        <v>172</v>
      </c>
      <c r="BL29" s="26" t="s">
        <v>172</v>
      </c>
      <c r="BM29" s="26">
        <v>0</v>
      </c>
      <c r="BN29" s="26" t="s">
        <v>172</v>
      </c>
      <c r="BO29" s="26">
        <v>0</v>
      </c>
      <c r="BP29" s="26">
        <v>0</v>
      </c>
      <c r="BQ29" s="26">
        <v>2</v>
      </c>
      <c r="BR29" s="26">
        <v>0</v>
      </c>
      <c r="BS29" s="26">
        <v>1</v>
      </c>
      <c r="BT29" s="26">
        <v>1</v>
      </c>
      <c r="BU29" s="26">
        <v>2</v>
      </c>
      <c r="BV29" s="26">
        <v>0</v>
      </c>
      <c r="BW29" s="26">
        <v>0</v>
      </c>
      <c r="BX29" s="26">
        <v>0</v>
      </c>
      <c r="BY29" s="26">
        <v>2</v>
      </c>
      <c r="BZ29" s="26">
        <v>0</v>
      </c>
      <c r="CA29" s="26">
        <v>1</v>
      </c>
      <c r="CB29" s="26">
        <v>0</v>
      </c>
      <c r="CC29" s="26">
        <v>0</v>
      </c>
      <c r="CD29" s="26">
        <v>0</v>
      </c>
      <c r="CE29" s="63">
        <f t="shared" si="1"/>
        <v>18</v>
      </c>
      <c r="CF29" s="63">
        <f t="shared" si="2"/>
        <v>37</v>
      </c>
      <c r="CG29" s="64">
        <f t="shared" si="3"/>
        <v>15.857142857142858</v>
      </c>
      <c r="CH29" s="114">
        <v>20</v>
      </c>
      <c r="CI29" s="115">
        <f t="shared" si="4"/>
        <v>35.857142857142861</v>
      </c>
    </row>
    <row r="30" spans="1:117" ht="15" customHeight="1">
      <c r="A30" s="20">
        <v>8</v>
      </c>
      <c r="B30" s="117" t="s">
        <v>88</v>
      </c>
      <c r="C30" s="106" t="s">
        <v>166</v>
      </c>
      <c r="D30" s="109" t="s">
        <v>170</v>
      </c>
      <c r="E30" s="110"/>
      <c r="F30" s="21">
        <v>0</v>
      </c>
      <c r="G30" s="22">
        <v>0</v>
      </c>
      <c r="H30" s="22">
        <v>0</v>
      </c>
      <c r="I30" s="22">
        <v>1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1</v>
      </c>
      <c r="R30" s="22">
        <v>1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3">
        <v>1</v>
      </c>
      <c r="Y30" s="23">
        <v>0</v>
      </c>
      <c r="Z30" s="23">
        <v>0</v>
      </c>
      <c r="AA30" s="23">
        <v>0</v>
      </c>
      <c r="AB30" s="22">
        <v>0</v>
      </c>
      <c r="AC30" s="22">
        <v>0</v>
      </c>
      <c r="AD30" s="22">
        <v>3</v>
      </c>
      <c r="AE30" s="22">
        <v>2</v>
      </c>
      <c r="AF30" s="22">
        <v>2</v>
      </c>
      <c r="AG30" s="22">
        <v>0</v>
      </c>
      <c r="AH30" s="22">
        <v>0</v>
      </c>
      <c r="AI30" s="22">
        <v>2</v>
      </c>
      <c r="AJ30" s="22">
        <v>0</v>
      </c>
      <c r="AK30" s="22">
        <v>1</v>
      </c>
      <c r="AL30" s="22">
        <v>0</v>
      </c>
      <c r="AM30" s="22">
        <v>0</v>
      </c>
      <c r="AN30" s="40">
        <f t="shared" si="0"/>
        <v>14</v>
      </c>
      <c r="AO30" s="25">
        <v>1</v>
      </c>
      <c r="AP30" s="26">
        <v>1</v>
      </c>
      <c r="AQ30" s="26">
        <v>0</v>
      </c>
      <c r="AR30" s="26">
        <v>0</v>
      </c>
      <c r="AS30" s="26">
        <v>1</v>
      </c>
      <c r="AT30" s="26">
        <v>0</v>
      </c>
      <c r="AU30" s="26">
        <v>0</v>
      </c>
      <c r="AV30" s="26">
        <v>2</v>
      </c>
      <c r="AW30" s="26">
        <v>0</v>
      </c>
      <c r="AX30" s="26">
        <v>0</v>
      </c>
      <c r="AY30" s="26">
        <v>2</v>
      </c>
      <c r="AZ30" s="26">
        <v>1</v>
      </c>
      <c r="BA30" s="26">
        <v>0</v>
      </c>
      <c r="BB30" s="26">
        <v>0</v>
      </c>
      <c r="BC30" s="26">
        <v>0</v>
      </c>
      <c r="BD30" s="26">
        <v>1</v>
      </c>
      <c r="BE30" s="26">
        <v>1</v>
      </c>
      <c r="BF30" s="26">
        <v>1</v>
      </c>
      <c r="BG30" s="26">
        <v>1</v>
      </c>
      <c r="BH30" s="26">
        <v>3</v>
      </c>
      <c r="BI30" s="26">
        <v>0</v>
      </c>
      <c r="BJ30" s="26">
        <v>0</v>
      </c>
      <c r="BK30" s="26">
        <v>0</v>
      </c>
      <c r="BL30" s="26">
        <v>1</v>
      </c>
      <c r="BM30" s="26">
        <v>0</v>
      </c>
      <c r="BN30" s="26">
        <v>1</v>
      </c>
      <c r="BO30" s="26">
        <v>0</v>
      </c>
      <c r="BP30" s="26">
        <v>1</v>
      </c>
      <c r="BQ30" s="26">
        <v>1</v>
      </c>
      <c r="BR30" s="26">
        <v>0</v>
      </c>
      <c r="BS30" s="26">
        <v>0</v>
      </c>
      <c r="BT30" s="26">
        <v>0</v>
      </c>
      <c r="BU30" s="26">
        <v>1</v>
      </c>
      <c r="BV30" s="26">
        <v>1</v>
      </c>
      <c r="BW30" s="26">
        <v>2</v>
      </c>
      <c r="BX30" s="26">
        <v>0</v>
      </c>
      <c r="BY30" s="26">
        <v>0</v>
      </c>
      <c r="BZ30" s="26">
        <v>0</v>
      </c>
      <c r="CA30" s="26">
        <v>1</v>
      </c>
      <c r="CB30" s="26">
        <v>0</v>
      </c>
      <c r="CC30" s="26">
        <v>0</v>
      </c>
      <c r="CD30" s="26">
        <v>0</v>
      </c>
      <c r="CE30" s="63">
        <f t="shared" si="1"/>
        <v>24</v>
      </c>
      <c r="CF30" s="63">
        <f t="shared" si="2"/>
        <v>38</v>
      </c>
      <c r="CG30" s="64">
        <f t="shared" si="3"/>
        <v>16.285714285714285</v>
      </c>
      <c r="CH30" s="114">
        <v>26</v>
      </c>
      <c r="CI30" s="115">
        <f t="shared" si="4"/>
        <v>42.285714285714285</v>
      </c>
    </row>
    <row r="31" spans="1:117" ht="15.75" customHeight="1">
      <c r="A31" s="20">
        <v>9</v>
      </c>
      <c r="B31" s="117" t="s">
        <v>89</v>
      </c>
      <c r="C31" s="106" t="s">
        <v>166</v>
      </c>
      <c r="D31" s="109" t="s">
        <v>170</v>
      </c>
      <c r="E31" s="110"/>
      <c r="F31" s="21">
        <v>0</v>
      </c>
      <c r="G31" s="22">
        <v>0</v>
      </c>
      <c r="H31" s="22">
        <v>1</v>
      </c>
      <c r="I31" s="22">
        <v>1</v>
      </c>
      <c r="J31" s="22">
        <v>1</v>
      </c>
      <c r="K31" s="22">
        <v>1</v>
      </c>
      <c r="L31" s="22">
        <v>1</v>
      </c>
      <c r="M31" s="22">
        <v>2</v>
      </c>
      <c r="N31" s="22">
        <v>1</v>
      </c>
      <c r="O31" s="22">
        <v>1</v>
      </c>
      <c r="P31" s="22">
        <v>1</v>
      </c>
      <c r="Q31" s="22">
        <v>1</v>
      </c>
      <c r="R31" s="22">
        <v>2</v>
      </c>
      <c r="S31" s="22">
        <v>2</v>
      </c>
      <c r="T31" s="22">
        <v>0</v>
      </c>
      <c r="U31" s="22">
        <v>0</v>
      </c>
      <c r="V31" s="22">
        <v>0</v>
      </c>
      <c r="W31" s="22">
        <v>0</v>
      </c>
      <c r="X31" s="23">
        <v>1</v>
      </c>
      <c r="Y31" s="23">
        <v>1</v>
      </c>
      <c r="Z31" s="23">
        <v>1</v>
      </c>
      <c r="AA31" s="23">
        <v>1</v>
      </c>
      <c r="AB31" s="22">
        <v>2</v>
      </c>
      <c r="AC31" s="22">
        <v>2</v>
      </c>
      <c r="AD31" s="22">
        <v>3</v>
      </c>
      <c r="AE31" s="22">
        <v>2</v>
      </c>
      <c r="AF31" s="22">
        <v>2</v>
      </c>
      <c r="AG31" s="22" t="s">
        <v>172</v>
      </c>
      <c r="AH31" s="22" t="s">
        <v>172</v>
      </c>
      <c r="AI31" s="22">
        <v>2</v>
      </c>
      <c r="AJ31" s="22">
        <v>0</v>
      </c>
      <c r="AK31" s="22">
        <v>2</v>
      </c>
      <c r="AL31" s="22" t="s">
        <v>172</v>
      </c>
      <c r="AM31" s="22" t="s">
        <v>172</v>
      </c>
      <c r="AN31" s="40">
        <f t="shared" si="0"/>
        <v>34</v>
      </c>
      <c r="AO31" s="25">
        <v>1</v>
      </c>
      <c r="AP31" s="26">
        <v>1</v>
      </c>
      <c r="AQ31" s="26">
        <v>0</v>
      </c>
      <c r="AR31" s="26">
        <v>0</v>
      </c>
      <c r="AS31" s="26">
        <v>0</v>
      </c>
      <c r="AT31" s="26">
        <v>0</v>
      </c>
      <c r="AU31" s="26">
        <v>2</v>
      </c>
      <c r="AV31" s="26">
        <v>0</v>
      </c>
      <c r="AW31" s="26">
        <v>1</v>
      </c>
      <c r="AX31" s="26" t="s">
        <v>172</v>
      </c>
      <c r="AY31" s="26">
        <v>2</v>
      </c>
      <c r="AZ31" s="26" t="s">
        <v>172</v>
      </c>
      <c r="BA31" s="26">
        <v>0</v>
      </c>
      <c r="BB31" s="26">
        <v>2</v>
      </c>
      <c r="BC31" s="26" t="s">
        <v>172</v>
      </c>
      <c r="BD31" s="26">
        <v>0</v>
      </c>
      <c r="BE31" s="26">
        <v>1</v>
      </c>
      <c r="BF31" s="26">
        <v>0</v>
      </c>
      <c r="BG31" s="26">
        <v>1</v>
      </c>
      <c r="BH31" s="26">
        <v>3</v>
      </c>
      <c r="BI31" s="26" t="s">
        <v>172</v>
      </c>
      <c r="BJ31" s="26" t="s">
        <v>172</v>
      </c>
      <c r="BK31" s="26" t="s">
        <v>172</v>
      </c>
      <c r="BL31" s="26" t="s">
        <v>172</v>
      </c>
      <c r="BM31" s="26">
        <v>0</v>
      </c>
      <c r="BN31" s="26" t="s">
        <v>172</v>
      </c>
      <c r="BO31" s="26" t="s">
        <v>172</v>
      </c>
      <c r="BP31" s="26" t="s">
        <v>172</v>
      </c>
      <c r="BQ31" s="26">
        <v>0</v>
      </c>
      <c r="BR31" s="26" t="s">
        <v>172</v>
      </c>
      <c r="BS31" s="26">
        <v>2</v>
      </c>
      <c r="BT31" s="26">
        <v>3</v>
      </c>
      <c r="BU31" s="26">
        <v>2</v>
      </c>
      <c r="BV31" s="26">
        <v>0</v>
      </c>
      <c r="BW31" s="26">
        <v>0</v>
      </c>
      <c r="BX31" s="26">
        <v>1</v>
      </c>
      <c r="BY31" s="26" t="s">
        <v>172</v>
      </c>
      <c r="BZ31" s="26" t="s">
        <v>172</v>
      </c>
      <c r="CA31" s="26">
        <v>2</v>
      </c>
      <c r="CB31" s="26" t="s">
        <v>172</v>
      </c>
      <c r="CC31" s="26" t="s">
        <v>172</v>
      </c>
      <c r="CD31" s="26" t="s">
        <v>172</v>
      </c>
      <c r="CE31" s="63">
        <f t="shared" si="1"/>
        <v>24</v>
      </c>
      <c r="CF31" s="63">
        <f t="shared" si="2"/>
        <v>58</v>
      </c>
      <c r="CG31" s="64">
        <f t="shared" si="3"/>
        <v>24.857142857142858</v>
      </c>
      <c r="CH31" s="114">
        <v>17.600000000000001</v>
      </c>
      <c r="CI31" s="115">
        <f t="shared" si="4"/>
        <v>42.457142857142856</v>
      </c>
    </row>
    <row r="32" spans="1:117" ht="15.75" customHeight="1">
      <c r="A32" s="20">
        <v>10</v>
      </c>
      <c r="B32" s="117" t="s">
        <v>90</v>
      </c>
      <c r="C32" s="106" t="s">
        <v>166</v>
      </c>
      <c r="D32" s="109" t="s">
        <v>170</v>
      </c>
      <c r="E32" s="110"/>
      <c r="F32" s="21">
        <v>1</v>
      </c>
      <c r="G32" s="22">
        <v>0</v>
      </c>
      <c r="H32" s="22">
        <v>1</v>
      </c>
      <c r="I32" s="22">
        <v>1</v>
      </c>
      <c r="J32" s="22">
        <v>1</v>
      </c>
      <c r="K32" s="22">
        <v>1</v>
      </c>
      <c r="L32" s="22">
        <v>2</v>
      </c>
      <c r="M32" s="22">
        <v>1</v>
      </c>
      <c r="N32" s="22">
        <v>1</v>
      </c>
      <c r="O32" s="22">
        <v>1</v>
      </c>
      <c r="P32" s="22">
        <v>1</v>
      </c>
      <c r="Q32" s="22">
        <v>1</v>
      </c>
      <c r="R32" s="22">
        <v>1</v>
      </c>
      <c r="S32" s="22">
        <v>2</v>
      </c>
      <c r="T32" s="22">
        <v>2</v>
      </c>
      <c r="U32" s="22" t="s">
        <v>172</v>
      </c>
      <c r="V32" s="22">
        <v>0</v>
      </c>
      <c r="W32" s="22">
        <v>0</v>
      </c>
      <c r="X32" s="23">
        <v>0</v>
      </c>
      <c r="Y32" s="23">
        <v>1</v>
      </c>
      <c r="Z32" s="23">
        <v>1</v>
      </c>
      <c r="AA32" s="23">
        <v>2</v>
      </c>
      <c r="AB32" s="22">
        <v>2</v>
      </c>
      <c r="AC32" s="22">
        <v>2</v>
      </c>
      <c r="AD32" s="22">
        <v>3</v>
      </c>
      <c r="AE32" s="22">
        <v>2</v>
      </c>
      <c r="AF32" s="22">
        <v>2</v>
      </c>
      <c r="AG32" s="22">
        <v>0</v>
      </c>
      <c r="AH32" s="22" t="s">
        <v>172</v>
      </c>
      <c r="AI32" s="22">
        <v>2</v>
      </c>
      <c r="AJ32" s="22">
        <v>3</v>
      </c>
      <c r="AK32" s="22">
        <v>2</v>
      </c>
      <c r="AL32" s="22">
        <v>0</v>
      </c>
      <c r="AM32" s="22" t="s">
        <v>172</v>
      </c>
      <c r="AN32" s="40">
        <f t="shared" si="0"/>
        <v>39</v>
      </c>
      <c r="AO32" s="25">
        <v>1</v>
      </c>
      <c r="AP32" s="26">
        <v>1</v>
      </c>
      <c r="AQ32" s="26">
        <v>0</v>
      </c>
      <c r="AR32" s="26">
        <v>0</v>
      </c>
      <c r="AS32" s="26">
        <v>0</v>
      </c>
      <c r="AT32" s="26">
        <v>0</v>
      </c>
      <c r="AU32" s="26">
        <v>0</v>
      </c>
      <c r="AV32" s="26">
        <v>4</v>
      </c>
      <c r="AW32" s="26">
        <v>0</v>
      </c>
      <c r="AX32" s="26" t="s">
        <v>172</v>
      </c>
      <c r="AY32" s="26">
        <v>2</v>
      </c>
      <c r="AZ32" s="26">
        <v>1</v>
      </c>
      <c r="BA32" s="26">
        <v>1</v>
      </c>
      <c r="BB32" s="26">
        <v>1</v>
      </c>
      <c r="BC32" s="26">
        <v>1</v>
      </c>
      <c r="BD32" s="26">
        <v>1</v>
      </c>
      <c r="BE32" s="26">
        <v>1</v>
      </c>
      <c r="BF32" s="26">
        <v>1</v>
      </c>
      <c r="BG32" s="26">
        <v>1</v>
      </c>
      <c r="BH32" s="26">
        <v>3</v>
      </c>
      <c r="BI32" s="26">
        <v>2</v>
      </c>
      <c r="BJ32" s="26">
        <v>2</v>
      </c>
      <c r="BK32" s="26">
        <v>2</v>
      </c>
      <c r="BL32" s="26">
        <v>2</v>
      </c>
      <c r="BM32" s="26" t="s">
        <v>172</v>
      </c>
      <c r="BN32" s="26">
        <v>1</v>
      </c>
      <c r="BO32" s="26">
        <v>0</v>
      </c>
      <c r="BP32" s="26">
        <v>1</v>
      </c>
      <c r="BQ32" s="26">
        <v>2</v>
      </c>
      <c r="BR32" s="26">
        <v>0</v>
      </c>
      <c r="BS32" s="26">
        <v>2</v>
      </c>
      <c r="BT32" s="26">
        <v>3</v>
      </c>
      <c r="BU32" s="26">
        <v>2</v>
      </c>
      <c r="BV32" s="26" t="s">
        <v>172</v>
      </c>
      <c r="BW32" s="26">
        <v>0</v>
      </c>
      <c r="BX32" s="26">
        <v>0</v>
      </c>
      <c r="BY32" s="26">
        <v>2</v>
      </c>
      <c r="BZ32" s="26">
        <v>0</v>
      </c>
      <c r="CA32" s="26">
        <v>2</v>
      </c>
      <c r="CB32" s="26">
        <v>0</v>
      </c>
      <c r="CC32" s="26">
        <v>2</v>
      </c>
      <c r="CD32" s="26">
        <v>0</v>
      </c>
      <c r="CE32" s="63">
        <f t="shared" si="1"/>
        <v>44</v>
      </c>
      <c r="CF32" s="63">
        <f t="shared" si="2"/>
        <v>83</v>
      </c>
      <c r="CG32" s="64">
        <f t="shared" si="3"/>
        <v>35.571428571428569</v>
      </c>
      <c r="CH32" s="114">
        <v>24.4</v>
      </c>
      <c r="CI32" s="115">
        <f t="shared" si="4"/>
        <v>59.971428571428568</v>
      </c>
    </row>
    <row r="33" spans="1:87" ht="15.75" customHeight="1">
      <c r="A33" s="20">
        <v>11</v>
      </c>
      <c r="B33" s="117" t="s">
        <v>91</v>
      </c>
      <c r="C33" s="106" t="s">
        <v>166</v>
      </c>
      <c r="D33" s="109" t="s">
        <v>170</v>
      </c>
      <c r="E33" s="110"/>
      <c r="F33" s="21">
        <v>1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 t="s">
        <v>172</v>
      </c>
      <c r="M33" s="22">
        <v>1</v>
      </c>
      <c r="N33" s="22">
        <v>0</v>
      </c>
      <c r="O33" s="22">
        <v>1</v>
      </c>
      <c r="P33" s="22">
        <v>0</v>
      </c>
      <c r="Q33" s="22">
        <v>1</v>
      </c>
      <c r="R33" s="22">
        <v>2</v>
      </c>
      <c r="S33" s="22">
        <v>0</v>
      </c>
      <c r="T33" s="22">
        <v>1</v>
      </c>
      <c r="U33" s="22" t="s">
        <v>172</v>
      </c>
      <c r="V33" s="22">
        <v>0</v>
      </c>
      <c r="W33" s="22">
        <v>0</v>
      </c>
      <c r="X33" s="23">
        <v>1</v>
      </c>
      <c r="Y33" s="23">
        <v>1</v>
      </c>
      <c r="Z33" s="23">
        <v>1</v>
      </c>
      <c r="AA33" s="23">
        <v>2</v>
      </c>
      <c r="AB33" s="22">
        <v>2</v>
      </c>
      <c r="AC33" s="22">
        <v>0</v>
      </c>
      <c r="AD33" s="22">
        <v>0</v>
      </c>
      <c r="AE33" s="22" t="s">
        <v>172</v>
      </c>
      <c r="AF33" s="22" t="s">
        <v>172</v>
      </c>
      <c r="AG33" s="22" t="s">
        <v>172</v>
      </c>
      <c r="AH33" s="22" t="s">
        <v>172</v>
      </c>
      <c r="AI33" s="22">
        <v>2</v>
      </c>
      <c r="AJ33" s="22" t="s">
        <v>172</v>
      </c>
      <c r="AK33" s="22">
        <v>0</v>
      </c>
      <c r="AL33" s="22" t="s">
        <v>172</v>
      </c>
      <c r="AM33" s="22">
        <v>0</v>
      </c>
      <c r="AN33" s="40">
        <f t="shared" si="0"/>
        <v>16</v>
      </c>
      <c r="AO33" s="25">
        <v>0</v>
      </c>
      <c r="AP33" s="26">
        <v>0</v>
      </c>
      <c r="AQ33" s="26">
        <v>0</v>
      </c>
      <c r="AR33" s="26" t="s">
        <v>172</v>
      </c>
      <c r="AS33" s="26">
        <v>1</v>
      </c>
      <c r="AT33" s="26">
        <v>0</v>
      </c>
      <c r="AU33" s="26">
        <v>0</v>
      </c>
      <c r="AV33" s="26" t="s">
        <v>172</v>
      </c>
      <c r="AW33" s="26">
        <v>1</v>
      </c>
      <c r="AX33" s="26">
        <v>0</v>
      </c>
      <c r="AY33" s="26">
        <v>0</v>
      </c>
      <c r="AZ33" s="26">
        <v>0</v>
      </c>
      <c r="BA33" s="26">
        <v>2</v>
      </c>
      <c r="BB33" s="26">
        <v>2</v>
      </c>
      <c r="BC33" s="26" t="s">
        <v>172</v>
      </c>
      <c r="BD33" s="26">
        <v>1</v>
      </c>
      <c r="BE33" s="26">
        <v>0</v>
      </c>
      <c r="BF33" s="26">
        <v>0</v>
      </c>
      <c r="BG33" s="26">
        <v>1</v>
      </c>
      <c r="BH33" s="26">
        <v>3</v>
      </c>
      <c r="BI33" s="26" t="s">
        <v>172</v>
      </c>
      <c r="BJ33" s="26" t="s">
        <v>172</v>
      </c>
      <c r="BK33" s="26" t="s">
        <v>172</v>
      </c>
      <c r="BL33" s="26">
        <v>1</v>
      </c>
      <c r="BM33" s="26">
        <v>0</v>
      </c>
      <c r="BN33" s="26">
        <v>1</v>
      </c>
      <c r="BO33" s="26" t="s">
        <v>172</v>
      </c>
      <c r="BP33" s="26" t="s">
        <v>172</v>
      </c>
      <c r="BQ33" s="26">
        <v>1</v>
      </c>
      <c r="BR33" s="26">
        <v>0</v>
      </c>
      <c r="BS33" s="26" t="s">
        <v>172</v>
      </c>
      <c r="BT33" s="26" t="s">
        <v>172</v>
      </c>
      <c r="BU33" s="26">
        <v>1</v>
      </c>
      <c r="BV33" s="26">
        <v>0</v>
      </c>
      <c r="BW33" s="26">
        <v>0</v>
      </c>
      <c r="BX33" s="26">
        <v>0</v>
      </c>
      <c r="BY33" s="26">
        <v>0</v>
      </c>
      <c r="BZ33" s="26">
        <v>0</v>
      </c>
      <c r="CA33" s="26">
        <v>2</v>
      </c>
      <c r="CB33" s="26">
        <v>0</v>
      </c>
      <c r="CC33" s="26">
        <v>2</v>
      </c>
      <c r="CD33" s="26">
        <v>0</v>
      </c>
      <c r="CE33" s="63">
        <f t="shared" si="1"/>
        <v>19</v>
      </c>
      <c r="CF33" s="63">
        <f t="shared" si="2"/>
        <v>35</v>
      </c>
      <c r="CG33" s="64">
        <f t="shared" si="3"/>
        <v>15</v>
      </c>
      <c r="CH33" s="114">
        <v>21.8</v>
      </c>
      <c r="CI33" s="115">
        <f t="shared" si="4"/>
        <v>36.799999999999997</v>
      </c>
    </row>
    <row r="34" spans="1:87" ht="15.75" customHeight="1">
      <c r="A34" s="20">
        <v>12</v>
      </c>
      <c r="B34" s="117" t="s">
        <v>92</v>
      </c>
      <c r="C34" s="106" t="s">
        <v>166</v>
      </c>
      <c r="D34" s="109" t="s">
        <v>171</v>
      </c>
      <c r="E34" s="110"/>
      <c r="F34" s="21">
        <v>1</v>
      </c>
      <c r="G34" s="22">
        <v>1</v>
      </c>
      <c r="H34" s="22">
        <v>0</v>
      </c>
      <c r="I34" s="22">
        <v>1</v>
      </c>
      <c r="J34" s="22">
        <v>1</v>
      </c>
      <c r="K34" s="22">
        <v>1</v>
      </c>
      <c r="L34" s="22">
        <v>2</v>
      </c>
      <c r="M34" s="22">
        <v>2</v>
      </c>
      <c r="N34" s="22">
        <v>1</v>
      </c>
      <c r="O34" s="22">
        <v>1</v>
      </c>
      <c r="P34" s="22">
        <v>1</v>
      </c>
      <c r="Q34" s="22">
        <v>1</v>
      </c>
      <c r="R34" s="22">
        <v>2</v>
      </c>
      <c r="S34" s="22">
        <v>2</v>
      </c>
      <c r="T34" s="22">
        <v>1</v>
      </c>
      <c r="U34" s="22">
        <v>1</v>
      </c>
      <c r="V34" s="22">
        <v>1</v>
      </c>
      <c r="W34" s="22">
        <v>2</v>
      </c>
      <c r="X34" s="23">
        <v>2</v>
      </c>
      <c r="Y34" s="23">
        <v>0</v>
      </c>
      <c r="Z34" s="23">
        <v>1</v>
      </c>
      <c r="AA34" s="23">
        <v>0</v>
      </c>
      <c r="AB34" s="22">
        <v>2</v>
      </c>
      <c r="AC34" s="22">
        <v>0</v>
      </c>
      <c r="AD34" s="22">
        <v>2</v>
      </c>
      <c r="AE34" s="22">
        <v>1</v>
      </c>
      <c r="AF34" s="22">
        <v>2</v>
      </c>
      <c r="AG34" s="22">
        <v>0</v>
      </c>
      <c r="AH34" s="22">
        <v>0</v>
      </c>
      <c r="AI34" s="22">
        <v>2</v>
      </c>
      <c r="AJ34" s="22">
        <v>3</v>
      </c>
      <c r="AK34" s="22">
        <v>2</v>
      </c>
      <c r="AL34" s="22">
        <v>2</v>
      </c>
      <c r="AM34" s="22">
        <v>0</v>
      </c>
      <c r="AN34" s="40">
        <f t="shared" si="0"/>
        <v>41</v>
      </c>
      <c r="AO34" s="25">
        <v>1</v>
      </c>
      <c r="AP34" s="26">
        <v>0</v>
      </c>
      <c r="AQ34" s="26">
        <v>0</v>
      </c>
      <c r="AR34" s="26">
        <v>0</v>
      </c>
      <c r="AS34" s="26">
        <v>2</v>
      </c>
      <c r="AT34" s="26">
        <v>2</v>
      </c>
      <c r="AU34" s="26">
        <v>2</v>
      </c>
      <c r="AV34" s="26">
        <v>4</v>
      </c>
      <c r="AW34" s="26">
        <v>1</v>
      </c>
      <c r="AX34" s="26">
        <v>3</v>
      </c>
      <c r="AY34" s="26">
        <v>2</v>
      </c>
      <c r="AZ34" s="26">
        <v>1</v>
      </c>
      <c r="BA34" s="26">
        <v>0</v>
      </c>
      <c r="BB34" s="26">
        <v>1</v>
      </c>
      <c r="BC34" s="26">
        <v>2</v>
      </c>
      <c r="BD34" s="26">
        <v>1</v>
      </c>
      <c r="BE34" s="26">
        <v>1</v>
      </c>
      <c r="BF34" s="26">
        <v>1</v>
      </c>
      <c r="BG34" s="26">
        <v>1</v>
      </c>
      <c r="BH34" s="26">
        <v>3</v>
      </c>
      <c r="BI34" s="26">
        <v>2</v>
      </c>
      <c r="BJ34" s="26">
        <v>0</v>
      </c>
      <c r="BK34" s="26">
        <v>1</v>
      </c>
      <c r="BL34" s="26" t="s">
        <v>172</v>
      </c>
      <c r="BM34" s="26">
        <v>1</v>
      </c>
      <c r="BN34" s="26">
        <v>1</v>
      </c>
      <c r="BO34" s="26">
        <v>1</v>
      </c>
      <c r="BP34" s="26">
        <v>1</v>
      </c>
      <c r="BQ34" s="26">
        <v>2</v>
      </c>
      <c r="BR34" s="26">
        <v>1</v>
      </c>
      <c r="BS34" s="26">
        <v>2</v>
      </c>
      <c r="BT34" s="26">
        <v>3</v>
      </c>
      <c r="BU34" s="26">
        <v>2</v>
      </c>
      <c r="BV34" s="26">
        <v>1</v>
      </c>
      <c r="BW34" s="26">
        <v>2</v>
      </c>
      <c r="BX34" s="26">
        <v>0</v>
      </c>
      <c r="BY34" s="26">
        <v>2</v>
      </c>
      <c r="BZ34" s="26">
        <v>2</v>
      </c>
      <c r="CA34" s="26">
        <v>1</v>
      </c>
      <c r="CB34" s="26">
        <v>0</v>
      </c>
      <c r="CC34" s="26">
        <v>0</v>
      </c>
      <c r="CD34" s="26">
        <v>0</v>
      </c>
      <c r="CE34" s="63">
        <f t="shared" si="1"/>
        <v>53</v>
      </c>
      <c r="CF34" s="63">
        <f t="shared" si="2"/>
        <v>94</v>
      </c>
      <c r="CG34" s="64">
        <f t="shared" si="3"/>
        <v>40.285714285714285</v>
      </c>
      <c r="CH34" s="114">
        <v>29.6</v>
      </c>
      <c r="CI34" s="115">
        <f t="shared" si="4"/>
        <v>69.885714285714286</v>
      </c>
    </row>
    <row r="35" spans="1:87" ht="15.75" customHeight="1">
      <c r="A35" s="20">
        <v>13</v>
      </c>
      <c r="B35" s="117" t="s">
        <v>93</v>
      </c>
      <c r="C35" s="106" t="s">
        <v>166</v>
      </c>
      <c r="D35" s="109" t="s">
        <v>171</v>
      </c>
      <c r="E35" s="110"/>
      <c r="F35" s="21">
        <v>1</v>
      </c>
      <c r="G35" s="22">
        <v>0</v>
      </c>
      <c r="H35" s="22">
        <v>1</v>
      </c>
      <c r="I35" s="22">
        <v>1</v>
      </c>
      <c r="J35" s="22">
        <v>1</v>
      </c>
      <c r="K35" s="22">
        <v>1</v>
      </c>
      <c r="L35" s="22">
        <v>2</v>
      </c>
      <c r="M35" s="22">
        <v>2</v>
      </c>
      <c r="N35" s="22">
        <v>1</v>
      </c>
      <c r="O35" s="22">
        <v>1</v>
      </c>
      <c r="P35" s="22">
        <v>1</v>
      </c>
      <c r="Q35" s="22">
        <v>1</v>
      </c>
      <c r="R35" s="22">
        <v>2</v>
      </c>
      <c r="S35" s="22">
        <v>2</v>
      </c>
      <c r="T35" s="22">
        <v>2</v>
      </c>
      <c r="U35" s="22">
        <v>1</v>
      </c>
      <c r="V35" s="22">
        <v>1</v>
      </c>
      <c r="W35" s="22">
        <v>0</v>
      </c>
      <c r="X35" s="23">
        <v>2</v>
      </c>
      <c r="Y35" s="23">
        <v>1</v>
      </c>
      <c r="Z35" s="23">
        <v>1</v>
      </c>
      <c r="AA35" s="23">
        <v>2</v>
      </c>
      <c r="AB35" s="22">
        <v>2</v>
      </c>
      <c r="AC35" s="22">
        <v>2</v>
      </c>
      <c r="AD35" s="22">
        <v>3</v>
      </c>
      <c r="AE35" s="22">
        <v>2</v>
      </c>
      <c r="AF35" s="22">
        <v>2</v>
      </c>
      <c r="AG35" s="22">
        <v>2</v>
      </c>
      <c r="AH35" s="22">
        <v>1</v>
      </c>
      <c r="AI35" s="22">
        <v>2</v>
      </c>
      <c r="AJ35" s="22">
        <v>3</v>
      </c>
      <c r="AK35" s="22">
        <v>2</v>
      </c>
      <c r="AL35" s="22">
        <v>0</v>
      </c>
      <c r="AM35" s="22">
        <v>0</v>
      </c>
      <c r="AN35" s="40">
        <f t="shared" si="0"/>
        <v>48</v>
      </c>
      <c r="AO35" s="25">
        <v>0</v>
      </c>
      <c r="AP35" s="26">
        <v>1</v>
      </c>
      <c r="AQ35" s="26">
        <v>0</v>
      </c>
      <c r="AR35" s="26">
        <v>0</v>
      </c>
      <c r="AS35" s="26">
        <v>2</v>
      </c>
      <c r="AT35" s="26">
        <v>3</v>
      </c>
      <c r="AU35" s="26">
        <v>2</v>
      </c>
      <c r="AV35" s="26">
        <v>4</v>
      </c>
      <c r="AW35" s="26">
        <v>1</v>
      </c>
      <c r="AX35" s="26">
        <v>3</v>
      </c>
      <c r="AY35" s="26">
        <v>2</v>
      </c>
      <c r="AZ35" s="26">
        <v>1</v>
      </c>
      <c r="BA35" s="26">
        <v>3</v>
      </c>
      <c r="BB35" s="26">
        <v>2</v>
      </c>
      <c r="BC35" s="26">
        <v>2</v>
      </c>
      <c r="BD35" s="26">
        <v>1</v>
      </c>
      <c r="BE35" s="26">
        <v>1</v>
      </c>
      <c r="BF35" s="26">
        <v>1</v>
      </c>
      <c r="BG35" s="26">
        <v>1</v>
      </c>
      <c r="BH35" s="26">
        <v>3</v>
      </c>
      <c r="BI35" s="26">
        <v>0</v>
      </c>
      <c r="BJ35" s="26">
        <v>2</v>
      </c>
      <c r="BK35" s="26">
        <v>2</v>
      </c>
      <c r="BL35" s="26">
        <v>1</v>
      </c>
      <c r="BM35" s="26">
        <v>1</v>
      </c>
      <c r="BN35" s="26">
        <v>1</v>
      </c>
      <c r="BO35" s="26">
        <v>1</v>
      </c>
      <c r="BP35" s="26">
        <v>1</v>
      </c>
      <c r="BQ35" s="26">
        <v>3</v>
      </c>
      <c r="BR35" s="26">
        <v>1</v>
      </c>
      <c r="BS35" s="26">
        <v>2</v>
      </c>
      <c r="BT35" s="26">
        <v>3</v>
      </c>
      <c r="BU35" s="26">
        <v>2</v>
      </c>
      <c r="BV35" s="26">
        <v>0</v>
      </c>
      <c r="BW35" s="26">
        <v>1</v>
      </c>
      <c r="BX35" s="26">
        <v>1</v>
      </c>
      <c r="BY35" s="26">
        <v>2</v>
      </c>
      <c r="BZ35" s="26">
        <v>0</v>
      </c>
      <c r="CA35" s="26">
        <v>2</v>
      </c>
      <c r="CB35" s="26">
        <v>0</v>
      </c>
      <c r="CC35" s="26">
        <v>2</v>
      </c>
      <c r="CD35" s="26">
        <v>1</v>
      </c>
      <c r="CE35" s="63">
        <f t="shared" si="1"/>
        <v>62</v>
      </c>
      <c r="CF35" s="63">
        <f t="shared" si="2"/>
        <v>110</v>
      </c>
      <c r="CG35" s="64">
        <f t="shared" si="3"/>
        <v>47.142857142857139</v>
      </c>
      <c r="CH35" s="114">
        <v>30.6</v>
      </c>
      <c r="CI35" s="115">
        <f t="shared" si="4"/>
        <v>77.742857142857133</v>
      </c>
    </row>
    <row r="36" spans="1:87" ht="15.75" customHeight="1">
      <c r="A36" s="20">
        <v>14</v>
      </c>
      <c r="B36" s="117" t="s">
        <v>94</v>
      </c>
      <c r="C36" s="106" t="s">
        <v>166</v>
      </c>
      <c r="D36" s="109" t="s">
        <v>171</v>
      </c>
      <c r="E36" s="110"/>
      <c r="F36" s="21">
        <v>1</v>
      </c>
      <c r="G36" s="22">
        <v>1</v>
      </c>
      <c r="H36" s="22">
        <v>1</v>
      </c>
      <c r="I36" s="22">
        <v>1</v>
      </c>
      <c r="J36" s="22">
        <v>1</v>
      </c>
      <c r="K36" s="22">
        <v>1</v>
      </c>
      <c r="L36" s="22">
        <v>2</v>
      </c>
      <c r="M36" s="22">
        <v>2</v>
      </c>
      <c r="N36" s="22">
        <v>1</v>
      </c>
      <c r="O36" s="22">
        <v>1</v>
      </c>
      <c r="P36" s="22">
        <v>1</v>
      </c>
      <c r="Q36" s="22">
        <v>1</v>
      </c>
      <c r="R36" s="22">
        <v>2</v>
      </c>
      <c r="S36" s="22">
        <v>1</v>
      </c>
      <c r="T36" s="22">
        <v>3</v>
      </c>
      <c r="U36" s="22">
        <v>3</v>
      </c>
      <c r="V36" s="22">
        <v>1</v>
      </c>
      <c r="W36" s="22">
        <v>0</v>
      </c>
      <c r="X36" s="23">
        <v>2</v>
      </c>
      <c r="Y36" s="23">
        <v>1</v>
      </c>
      <c r="Z36" s="23">
        <v>1</v>
      </c>
      <c r="AA36" s="23">
        <v>2</v>
      </c>
      <c r="AB36" s="22">
        <v>2</v>
      </c>
      <c r="AC36" s="22">
        <v>0</v>
      </c>
      <c r="AD36" s="22">
        <v>3</v>
      </c>
      <c r="AE36" s="22">
        <v>2</v>
      </c>
      <c r="AF36" s="22">
        <v>2</v>
      </c>
      <c r="AG36" s="22">
        <v>3</v>
      </c>
      <c r="AH36" s="22">
        <v>2</v>
      </c>
      <c r="AI36" s="22">
        <v>2</v>
      </c>
      <c r="AJ36" s="22">
        <v>3</v>
      </c>
      <c r="AK36" s="22">
        <v>2</v>
      </c>
      <c r="AL36" s="22">
        <v>2</v>
      </c>
      <c r="AM36" s="22">
        <v>2</v>
      </c>
      <c r="AN36" s="40">
        <f t="shared" si="0"/>
        <v>55</v>
      </c>
      <c r="AO36" s="25">
        <v>2</v>
      </c>
      <c r="AP36" s="26">
        <v>1</v>
      </c>
      <c r="AQ36" s="26">
        <v>2</v>
      </c>
      <c r="AR36" s="26">
        <v>1</v>
      </c>
      <c r="AS36" s="26">
        <v>1</v>
      </c>
      <c r="AT36" s="26">
        <v>3</v>
      </c>
      <c r="AU36" s="26">
        <v>2</v>
      </c>
      <c r="AV36" s="26">
        <v>4</v>
      </c>
      <c r="AW36" s="26">
        <v>1</v>
      </c>
      <c r="AX36" s="26">
        <v>3</v>
      </c>
      <c r="AY36" s="26">
        <v>2</v>
      </c>
      <c r="AZ36" s="26">
        <v>1</v>
      </c>
      <c r="BA36" s="26">
        <v>3</v>
      </c>
      <c r="BB36" s="26">
        <v>2</v>
      </c>
      <c r="BC36" s="26">
        <v>1</v>
      </c>
      <c r="BD36" s="26">
        <v>1</v>
      </c>
      <c r="BE36" s="26">
        <v>1</v>
      </c>
      <c r="BF36" s="26">
        <v>1</v>
      </c>
      <c r="BG36" s="26">
        <v>1</v>
      </c>
      <c r="BH36" s="26">
        <v>0</v>
      </c>
      <c r="BI36" s="26">
        <v>2</v>
      </c>
      <c r="BJ36" s="26">
        <v>0</v>
      </c>
      <c r="BK36" s="26">
        <v>1</v>
      </c>
      <c r="BL36" s="26">
        <v>1</v>
      </c>
      <c r="BM36" s="26">
        <v>1</v>
      </c>
      <c r="BN36" s="26">
        <v>1</v>
      </c>
      <c r="BO36" s="26">
        <v>1</v>
      </c>
      <c r="BP36" s="26">
        <v>1</v>
      </c>
      <c r="BQ36" s="26">
        <v>3</v>
      </c>
      <c r="BR36" s="26">
        <v>1</v>
      </c>
      <c r="BS36" s="26">
        <v>2</v>
      </c>
      <c r="BT36" s="26">
        <v>3</v>
      </c>
      <c r="BU36" s="26">
        <v>1</v>
      </c>
      <c r="BV36" s="26">
        <v>0</v>
      </c>
      <c r="BW36" s="26">
        <v>1</v>
      </c>
      <c r="BX36" s="26">
        <v>0</v>
      </c>
      <c r="BY36" s="26">
        <v>2</v>
      </c>
      <c r="BZ36" s="26">
        <v>2</v>
      </c>
      <c r="CA36" s="26">
        <v>2</v>
      </c>
      <c r="CB36" s="26" t="s">
        <v>172</v>
      </c>
      <c r="CC36" s="26">
        <v>2</v>
      </c>
      <c r="CD36" s="26">
        <v>4</v>
      </c>
      <c r="CE36" s="63">
        <f t="shared" si="1"/>
        <v>64</v>
      </c>
      <c r="CF36" s="63">
        <f t="shared" si="2"/>
        <v>119</v>
      </c>
      <c r="CG36" s="64">
        <f t="shared" si="3"/>
        <v>51</v>
      </c>
      <c r="CH36" s="114">
        <v>33.200000000000003</v>
      </c>
      <c r="CI36" s="115">
        <f t="shared" si="4"/>
        <v>84.2</v>
      </c>
    </row>
    <row r="37" spans="1:87" ht="15.75" customHeight="1">
      <c r="A37" s="20">
        <v>15</v>
      </c>
      <c r="B37" s="117" t="s">
        <v>95</v>
      </c>
      <c r="C37" s="106" t="s">
        <v>166</v>
      </c>
      <c r="D37" s="109" t="s">
        <v>171</v>
      </c>
      <c r="E37" s="110"/>
      <c r="F37" s="21">
        <v>1</v>
      </c>
      <c r="G37" s="22">
        <v>1</v>
      </c>
      <c r="H37" s="22">
        <v>0</v>
      </c>
      <c r="I37" s="22">
        <v>1</v>
      </c>
      <c r="J37" s="22">
        <v>0</v>
      </c>
      <c r="K37" s="22">
        <v>1</v>
      </c>
      <c r="L37" s="22">
        <v>1</v>
      </c>
      <c r="M37" s="22">
        <v>2</v>
      </c>
      <c r="N37" s="22">
        <v>1</v>
      </c>
      <c r="O37" s="22">
        <v>1</v>
      </c>
      <c r="P37" s="22">
        <v>1</v>
      </c>
      <c r="Q37" s="22">
        <v>1</v>
      </c>
      <c r="R37" s="22">
        <v>2</v>
      </c>
      <c r="S37" s="22">
        <v>0</v>
      </c>
      <c r="T37" s="22">
        <v>0</v>
      </c>
      <c r="U37" s="22">
        <v>1</v>
      </c>
      <c r="V37" s="22">
        <v>0</v>
      </c>
      <c r="W37" s="22">
        <v>0</v>
      </c>
      <c r="X37" s="23">
        <v>1</v>
      </c>
      <c r="Y37" s="23">
        <v>1</v>
      </c>
      <c r="Z37" s="23">
        <v>1</v>
      </c>
      <c r="AA37" s="23">
        <v>2</v>
      </c>
      <c r="AB37" s="22">
        <v>2</v>
      </c>
      <c r="AC37" s="22">
        <v>2</v>
      </c>
      <c r="AD37" s="22">
        <v>1</v>
      </c>
      <c r="AE37" s="22">
        <v>0</v>
      </c>
      <c r="AF37" s="22">
        <v>1</v>
      </c>
      <c r="AG37" s="22">
        <v>0</v>
      </c>
      <c r="AH37" s="22">
        <v>0</v>
      </c>
      <c r="AI37" s="22">
        <v>2</v>
      </c>
      <c r="AJ37" s="22">
        <v>2</v>
      </c>
      <c r="AK37" s="22">
        <v>0</v>
      </c>
      <c r="AL37" s="22">
        <v>0</v>
      </c>
      <c r="AM37" s="22">
        <v>0</v>
      </c>
      <c r="AN37" s="40">
        <f t="shared" si="0"/>
        <v>29</v>
      </c>
      <c r="AO37" s="25">
        <v>2</v>
      </c>
      <c r="AP37" s="26">
        <v>0</v>
      </c>
      <c r="AQ37" s="26">
        <v>2</v>
      </c>
      <c r="AR37" s="26">
        <v>1</v>
      </c>
      <c r="AS37" s="26">
        <v>0</v>
      </c>
      <c r="AT37" s="26">
        <v>1</v>
      </c>
      <c r="AU37" s="26">
        <v>2</v>
      </c>
      <c r="AV37" s="26">
        <v>2</v>
      </c>
      <c r="AW37" s="26">
        <v>0</v>
      </c>
      <c r="AX37" s="26">
        <v>0</v>
      </c>
      <c r="AY37" s="26">
        <v>2</v>
      </c>
      <c r="AZ37" s="26">
        <v>1</v>
      </c>
      <c r="BA37" s="26">
        <v>3</v>
      </c>
      <c r="BB37" s="26">
        <v>2</v>
      </c>
      <c r="BC37" s="26">
        <v>2</v>
      </c>
      <c r="BD37" s="26">
        <v>0</v>
      </c>
      <c r="BE37" s="26">
        <v>1</v>
      </c>
      <c r="BF37" s="26">
        <v>1</v>
      </c>
      <c r="BG37" s="26">
        <v>1</v>
      </c>
      <c r="BH37" s="26">
        <v>3</v>
      </c>
      <c r="BI37" s="26">
        <v>0</v>
      </c>
      <c r="BJ37" s="26">
        <v>0</v>
      </c>
      <c r="BK37" s="26">
        <v>0</v>
      </c>
      <c r="BL37" s="26" t="s">
        <v>172</v>
      </c>
      <c r="BM37" s="26">
        <v>0</v>
      </c>
      <c r="BN37" s="26">
        <v>1</v>
      </c>
      <c r="BO37" s="26">
        <v>1</v>
      </c>
      <c r="BP37" s="26">
        <v>0</v>
      </c>
      <c r="BQ37" s="26">
        <v>1</v>
      </c>
      <c r="BR37" s="26">
        <v>0</v>
      </c>
      <c r="BS37" s="26">
        <v>2</v>
      </c>
      <c r="BT37" s="26">
        <v>3</v>
      </c>
      <c r="BU37" s="26">
        <v>1</v>
      </c>
      <c r="BV37" s="26">
        <v>0</v>
      </c>
      <c r="BW37" s="26">
        <v>0</v>
      </c>
      <c r="BX37" s="26">
        <v>0</v>
      </c>
      <c r="BY37" s="26">
        <v>2</v>
      </c>
      <c r="BZ37" s="26">
        <v>2</v>
      </c>
      <c r="CA37" s="26">
        <v>2</v>
      </c>
      <c r="CB37" s="26">
        <v>0</v>
      </c>
      <c r="CC37" s="26">
        <v>2</v>
      </c>
      <c r="CD37" s="26">
        <v>0</v>
      </c>
      <c r="CE37" s="63">
        <f t="shared" si="1"/>
        <v>43</v>
      </c>
      <c r="CF37" s="63">
        <f t="shared" si="2"/>
        <v>72</v>
      </c>
      <c r="CG37" s="64">
        <f t="shared" si="3"/>
        <v>30.857142857142854</v>
      </c>
      <c r="CH37" s="114">
        <v>30</v>
      </c>
      <c r="CI37" s="115">
        <f t="shared" si="4"/>
        <v>60.857142857142854</v>
      </c>
    </row>
    <row r="38" spans="1:87" ht="15" customHeight="1">
      <c r="A38" s="20">
        <v>16</v>
      </c>
      <c r="B38" s="118" t="s">
        <v>96</v>
      </c>
      <c r="C38" s="106" t="s">
        <v>166</v>
      </c>
      <c r="D38" s="109" t="s">
        <v>171</v>
      </c>
      <c r="E38" s="110"/>
      <c r="F38" s="21">
        <v>1</v>
      </c>
      <c r="G38" s="22">
        <v>0</v>
      </c>
      <c r="H38" s="22">
        <v>1</v>
      </c>
      <c r="I38" s="22">
        <v>1</v>
      </c>
      <c r="J38" s="22">
        <v>1</v>
      </c>
      <c r="K38" s="22">
        <v>1</v>
      </c>
      <c r="L38" s="22">
        <v>2</v>
      </c>
      <c r="M38" s="22">
        <v>2</v>
      </c>
      <c r="N38" s="22">
        <v>1</v>
      </c>
      <c r="O38" s="22">
        <v>1</v>
      </c>
      <c r="P38" s="22">
        <v>1</v>
      </c>
      <c r="Q38" s="22">
        <v>1</v>
      </c>
      <c r="R38" s="22">
        <v>2</v>
      </c>
      <c r="S38" s="22">
        <v>1</v>
      </c>
      <c r="T38" s="22">
        <v>2</v>
      </c>
      <c r="U38" s="22">
        <v>1</v>
      </c>
      <c r="V38" s="22">
        <v>0</v>
      </c>
      <c r="W38" s="22">
        <v>2</v>
      </c>
      <c r="X38" s="23">
        <v>2</v>
      </c>
      <c r="Y38" s="23">
        <v>1</v>
      </c>
      <c r="Z38" s="23">
        <v>0</v>
      </c>
      <c r="AA38" s="23">
        <v>2</v>
      </c>
      <c r="AB38" s="22">
        <v>2</v>
      </c>
      <c r="AC38" s="22">
        <v>0</v>
      </c>
      <c r="AD38" s="22">
        <v>1</v>
      </c>
      <c r="AE38" s="22">
        <v>2</v>
      </c>
      <c r="AF38" s="22">
        <v>2</v>
      </c>
      <c r="AG38" s="22">
        <v>3</v>
      </c>
      <c r="AH38" s="22">
        <v>0</v>
      </c>
      <c r="AI38" s="22">
        <v>2</v>
      </c>
      <c r="AJ38" s="22">
        <v>2</v>
      </c>
      <c r="AK38" s="22">
        <v>2</v>
      </c>
      <c r="AL38" s="22">
        <v>2</v>
      </c>
      <c r="AM38" s="22" t="s">
        <v>172</v>
      </c>
      <c r="AN38" s="40">
        <f t="shared" si="0"/>
        <v>44</v>
      </c>
      <c r="AO38" s="25">
        <v>2</v>
      </c>
      <c r="AP38" s="26">
        <v>1</v>
      </c>
      <c r="AQ38" s="26">
        <v>2</v>
      </c>
      <c r="AR38" s="26">
        <v>1</v>
      </c>
      <c r="AS38" s="26">
        <v>0</v>
      </c>
      <c r="AT38" s="26">
        <v>3</v>
      </c>
      <c r="AU38" s="26">
        <v>2</v>
      </c>
      <c r="AV38" s="26">
        <v>4</v>
      </c>
      <c r="AW38" s="26">
        <v>1</v>
      </c>
      <c r="AX38" s="26">
        <v>1</v>
      </c>
      <c r="AY38" s="26">
        <v>2</v>
      </c>
      <c r="AZ38" s="26">
        <v>1</v>
      </c>
      <c r="BA38" s="26">
        <v>0</v>
      </c>
      <c r="BB38" s="26">
        <v>2</v>
      </c>
      <c r="BC38" s="26">
        <v>2</v>
      </c>
      <c r="BD38" s="26">
        <v>1</v>
      </c>
      <c r="BE38" s="26">
        <v>1</v>
      </c>
      <c r="BF38" s="26">
        <v>1</v>
      </c>
      <c r="BG38" s="26">
        <v>1</v>
      </c>
      <c r="BH38" s="26">
        <v>3</v>
      </c>
      <c r="BI38" s="26">
        <v>2</v>
      </c>
      <c r="BJ38" s="26">
        <v>2</v>
      </c>
      <c r="BK38" s="26">
        <v>2</v>
      </c>
      <c r="BL38" s="26">
        <v>2</v>
      </c>
      <c r="BM38" s="26">
        <v>1</v>
      </c>
      <c r="BN38" s="26">
        <v>1</v>
      </c>
      <c r="BO38" s="26">
        <v>1</v>
      </c>
      <c r="BP38" s="26">
        <v>1</v>
      </c>
      <c r="BQ38" s="26">
        <v>2</v>
      </c>
      <c r="BR38" s="26">
        <v>0</v>
      </c>
      <c r="BS38" s="26">
        <v>2</v>
      </c>
      <c r="BT38" s="26">
        <v>3</v>
      </c>
      <c r="BU38" s="26">
        <v>2</v>
      </c>
      <c r="BV38" s="26">
        <v>1</v>
      </c>
      <c r="BW38" s="26">
        <v>0</v>
      </c>
      <c r="BX38" s="26">
        <v>1</v>
      </c>
      <c r="BY38" s="26">
        <v>2</v>
      </c>
      <c r="BZ38" s="26">
        <v>2</v>
      </c>
      <c r="CA38" s="26">
        <v>2</v>
      </c>
      <c r="CB38" s="26">
        <v>0</v>
      </c>
      <c r="CC38" s="26">
        <v>2</v>
      </c>
      <c r="CD38" s="26">
        <v>3</v>
      </c>
      <c r="CE38" s="63">
        <f t="shared" si="1"/>
        <v>65</v>
      </c>
      <c r="CF38" s="63">
        <f t="shared" si="2"/>
        <v>109</v>
      </c>
      <c r="CG38" s="64">
        <f t="shared" si="3"/>
        <v>46.714285714285715</v>
      </c>
      <c r="CH38" s="114">
        <v>29.6</v>
      </c>
      <c r="CI38" s="115">
        <f t="shared" si="4"/>
        <v>76.314285714285717</v>
      </c>
    </row>
    <row r="39" spans="1:87" ht="15" customHeight="1">
      <c r="A39" s="20">
        <v>17</v>
      </c>
      <c r="B39" s="117" t="s">
        <v>97</v>
      </c>
      <c r="C39" s="106" t="s">
        <v>166</v>
      </c>
      <c r="D39" s="109" t="s">
        <v>171</v>
      </c>
      <c r="E39" s="110"/>
      <c r="F39" s="21">
        <v>1</v>
      </c>
      <c r="G39" s="22">
        <v>1</v>
      </c>
      <c r="H39" s="22">
        <v>1</v>
      </c>
      <c r="I39" s="22">
        <v>0</v>
      </c>
      <c r="J39" s="22">
        <v>1</v>
      </c>
      <c r="K39" s="22">
        <v>0</v>
      </c>
      <c r="L39" s="22">
        <v>2</v>
      </c>
      <c r="M39" s="22">
        <v>1</v>
      </c>
      <c r="N39" s="22">
        <v>1</v>
      </c>
      <c r="O39" s="22">
        <v>1</v>
      </c>
      <c r="P39" s="22">
        <v>1</v>
      </c>
      <c r="Q39" s="22">
        <v>1</v>
      </c>
      <c r="R39" s="22">
        <v>2</v>
      </c>
      <c r="S39" s="22">
        <v>2</v>
      </c>
      <c r="T39" s="22">
        <v>2</v>
      </c>
      <c r="U39" s="22">
        <v>2</v>
      </c>
      <c r="V39" s="22">
        <v>1</v>
      </c>
      <c r="W39" s="22">
        <v>2</v>
      </c>
      <c r="X39" s="23">
        <v>1</v>
      </c>
      <c r="Y39" s="23">
        <v>1</v>
      </c>
      <c r="Z39" s="23">
        <v>0</v>
      </c>
      <c r="AA39" s="23">
        <v>2</v>
      </c>
      <c r="AB39" s="22">
        <v>2</v>
      </c>
      <c r="AC39" s="22">
        <v>0</v>
      </c>
      <c r="AD39" s="22">
        <v>3</v>
      </c>
      <c r="AE39" s="22">
        <v>2</v>
      </c>
      <c r="AF39" s="22">
        <v>2</v>
      </c>
      <c r="AG39" s="22">
        <v>0</v>
      </c>
      <c r="AH39" s="22">
        <v>0</v>
      </c>
      <c r="AI39" s="22">
        <v>2</v>
      </c>
      <c r="AJ39" s="22">
        <v>3</v>
      </c>
      <c r="AK39" s="22">
        <v>2</v>
      </c>
      <c r="AL39" s="22">
        <v>0</v>
      </c>
      <c r="AM39" s="22">
        <v>0</v>
      </c>
      <c r="AN39" s="40">
        <f t="shared" si="0"/>
        <v>42</v>
      </c>
      <c r="AO39" s="25">
        <v>2</v>
      </c>
      <c r="AP39" s="26">
        <v>1</v>
      </c>
      <c r="AQ39" s="26">
        <v>0</v>
      </c>
      <c r="AR39" s="26">
        <v>1</v>
      </c>
      <c r="AS39" s="26">
        <v>1</v>
      </c>
      <c r="AT39" s="26">
        <v>3</v>
      </c>
      <c r="AU39" s="26">
        <v>2</v>
      </c>
      <c r="AV39" s="26">
        <v>4</v>
      </c>
      <c r="AW39" s="26">
        <v>1</v>
      </c>
      <c r="AX39" s="26">
        <v>3</v>
      </c>
      <c r="AY39" s="26">
        <v>2</v>
      </c>
      <c r="AZ39" s="26">
        <v>1</v>
      </c>
      <c r="BA39" s="26">
        <v>3</v>
      </c>
      <c r="BB39" s="26">
        <v>2</v>
      </c>
      <c r="BC39" s="26">
        <v>2</v>
      </c>
      <c r="BD39" s="26">
        <v>1</v>
      </c>
      <c r="BE39" s="26">
        <v>1</v>
      </c>
      <c r="BF39" s="26">
        <v>1</v>
      </c>
      <c r="BG39" s="26">
        <v>1</v>
      </c>
      <c r="BH39" s="26">
        <v>3</v>
      </c>
      <c r="BI39" s="26">
        <v>2</v>
      </c>
      <c r="BJ39" s="26">
        <v>2</v>
      </c>
      <c r="BK39" s="26">
        <v>2</v>
      </c>
      <c r="BL39" s="26">
        <v>2</v>
      </c>
      <c r="BM39" s="26">
        <v>1</v>
      </c>
      <c r="BN39" s="26">
        <v>1</v>
      </c>
      <c r="BO39" s="26">
        <v>0</v>
      </c>
      <c r="BP39" s="26">
        <v>1</v>
      </c>
      <c r="BQ39" s="26">
        <v>1</v>
      </c>
      <c r="BR39" s="26">
        <v>0</v>
      </c>
      <c r="BS39" s="26">
        <v>1</v>
      </c>
      <c r="BT39" s="26">
        <v>2</v>
      </c>
      <c r="BU39" s="26">
        <v>2</v>
      </c>
      <c r="BV39" s="26">
        <v>0</v>
      </c>
      <c r="BW39" s="26">
        <v>0</v>
      </c>
      <c r="BX39" s="26">
        <v>2</v>
      </c>
      <c r="BY39" s="26">
        <v>2</v>
      </c>
      <c r="BZ39" s="26">
        <v>2</v>
      </c>
      <c r="CA39" s="26">
        <v>2</v>
      </c>
      <c r="CB39" s="26">
        <v>0</v>
      </c>
      <c r="CC39" s="26">
        <v>2</v>
      </c>
      <c r="CD39" s="26">
        <v>1</v>
      </c>
      <c r="CE39" s="63">
        <f t="shared" si="1"/>
        <v>63</v>
      </c>
      <c r="CF39" s="63">
        <f t="shared" si="2"/>
        <v>105</v>
      </c>
      <c r="CG39" s="64">
        <f t="shared" si="3"/>
        <v>45</v>
      </c>
      <c r="CH39" s="114">
        <v>28</v>
      </c>
      <c r="CI39" s="115">
        <f t="shared" si="4"/>
        <v>73</v>
      </c>
    </row>
    <row r="40" spans="1:87" ht="15" customHeight="1">
      <c r="A40" s="20">
        <v>18</v>
      </c>
      <c r="B40" s="117" t="s">
        <v>98</v>
      </c>
      <c r="C40" s="106" t="s">
        <v>166</v>
      </c>
      <c r="D40" s="109" t="s">
        <v>171</v>
      </c>
      <c r="E40" s="110"/>
      <c r="F40" s="21">
        <v>0</v>
      </c>
      <c r="G40" s="22">
        <v>0</v>
      </c>
      <c r="H40" s="22">
        <v>0</v>
      </c>
      <c r="I40" s="22">
        <v>0</v>
      </c>
      <c r="J40" s="22">
        <v>1</v>
      </c>
      <c r="K40" s="22">
        <v>0</v>
      </c>
      <c r="L40" s="22" t="s">
        <v>172</v>
      </c>
      <c r="M40" s="22">
        <v>2</v>
      </c>
      <c r="N40" s="22">
        <v>1</v>
      </c>
      <c r="O40" s="22">
        <v>1</v>
      </c>
      <c r="P40" s="22">
        <v>1</v>
      </c>
      <c r="Q40" s="22">
        <v>1</v>
      </c>
      <c r="R40" s="22" t="s">
        <v>172</v>
      </c>
      <c r="S40" s="22">
        <v>1</v>
      </c>
      <c r="T40" s="22">
        <v>1</v>
      </c>
      <c r="U40" s="22">
        <v>0</v>
      </c>
      <c r="V40" s="22">
        <v>0</v>
      </c>
      <c r="W40" s="22">
        <v>0</v>
      </c>
      <c r="X40" s="23">
        <v>0</v>
      </c>
      <c r="Y40" s="23">
        <v>1</v>
      </c>
      <c r="Z40" s="23">
        <v>1</v>
      </c>
      <c r="AA40" s="23">
        <v>1</v>
      </c>
      <c r="AB40" s="22">
        <v>2</v>
      </c>
      <c r="AC40" s="22">
        <v>0</v>
      </c>
      <c r="AD40" s="22">
        <v>3</v>
      </c>
      <c r="AE40" s="22" t="s">
        <v>172</v>
      </c>
      <c r="AF40" s="22">
        <v>2</v>
      </c>
      <c r="AG40" s="22">
        <v>0</v>
      </c>
      <c r="AH40" s="22" t="s">
        <v>172</v>
      </c>
      <c r="AI40" s="22">
        <v>0</v>
      </c>
      <c r="AJ40" s="22">
        <v>1</v>
      </c>
      <c r="AK40" s="22">
        <v>0</v>
      </c>
      <c r="AL40" s="22">
        <v>0</v>
      </c>
      <c r="AM40" s="22">
        <v>0</v>
      </c>
      <c r="AN40" s="40">
        <f t="shared" si="0"/>
        <v>20</v>
      </c>
      <c r="AO40" s="25">
        <v>2</v>
      </c>
      <c r="AP40" s="26">
        <v>1</v>
      </c>
      <c r="AQ40" s="26">
        <v>0</v>
      </c>
      <c r="AR40" s="26">
        <v>0</v>
      </c>
      <c r="AS40" s="26">
        <v>1</v>
      </c>
      <c r="AT40" s="26">
        <v>3</v>
      </c>
      <c r="AU40" s="26">
        <v>0</v>
      </c>
      <c r="AV40" s="26">
        <v>2</v>
      </c>
      <c r="AW40" s="26">
        <v>0</v>
      </c>
      <c r="AX40" s="26" t="s">
        <v>172</v>
      </c>
      <c r="AY40" s="26">
        <v>2</v>
      </c>
      <c r="AZ40" s="26">
        <v>1</v>
      </c>
      <c r="BA40" s="26">
        <v>0</v>
      </c>
      <c r="BB40" s="26">
        <v>0</v>
      </c>
      <c r="BC40" s="26">
        <v>0</v>
      </c>
      <c r="BD40" s="26">
        <v>1</v>
      </c>
      <c r="BE40" s="26">
        <v>1</v>
      </c>
      <c r="BF40" s="26">
        <v>1</v>
      </c>
      <c r="BG40" s="26">
        <v>1</v>
      </c>
      <c r="BH40" s="26">
        <v>0</v>
      </c>
      <c r="BI40" s="26">
        <v>2</v>
      </c>
      <c r="BJ40" s="26" t="s">
        <v>172</v>
      </c>
      <c r="BK40" s="26" t="s">
        <v>172</v>
      </c>
      <c r="BL40" s="26">
        <v>1</v>
      </c>
      <c r="BM40" s="26">
        <v>0</v>
      </c>
      <c r="BN40" s="26">
        <v>1</v>
      </c>
      <c r="BO40" s="26">
        <v>1</v>
      </c>
      <c r="BP40" s="26">
        <v>1</v>
      </c>
      <c r="BQ40" s="26">
        <v>3</v>
      </c>
      <c r="BR40" s="26">
        <v>1</v>
      </c>
      <c r="BS40" s="26">
        <v>2</v>
      </c>
      <c r="BT40" s="26">
        <v>3</v>
      </c>
      <c r="BU40" s="26">
        <v>2</v>
      </c>
      <c r="BV40" s="26">
        <v>0</v>
      </c>
      <c r="BW40" s="26">
        <v>2</v>
      </c>
      <c r="BX40" s="26">
        <v>0</v>
      </c>
      <c r="BY40" s="26">
        <v>2</v>
      </c>
      <c r="BZ40" s="26">
        <v>2</v>
      </c>
      <c r="CA40" s="26">
        <v>2</v>
      </c>
      <c r="CB40" s="26">
        <v>0</v>
      </c>
      <c r="CC40" s="26" t="s">
        <v>172</v>
      </c>
      <c r="CD40" s="26" t="s">
        <v>172</v>
      </c>
      <c r="CE40" s="63">
        <f t="shared" si="1"/>
        <v>41</v>
      </c>
      <c r="CF40" s="63">
        <f t="shared" si="2"/>
        <v>61</v>
      </c>
      <c r="CG40" s="64">
        <f t="shared" si="3"/>
        <v>26.142857142857142</v>
      </c>
      <c r="CH40" s="114">
        <v>26</v>
      </c>
      <c r="CI40" s="115">
        <f t="shared" si="4"/>
        <v>52.142857142857139</v>
      </c>
    </row>
    <row r="41" spans="1:87" ht="15.75" customHeight="1">
      <c r="A41" s="20">
        <v>19</v>
      </c>
      <c r="B41" s="117" t="s">
        <v>99</v>
      </c>
      <c r="C41" s="106" t="s">
        <v>166</v>
      </c>
      <c r="D41" s="109" t="s">
        <v>171</v>
      </c>
      <c r="E41" s="110"/>
      <c r="F41" s="21">
        <v>1</v>
      </c>
      <c r="G41" s="22">
        <v>1</v>
      </c>
      <c r="H41" s="22">
        <v>1</v>
      </c>
      <c r="I41" s="22">
        <v>1</v>
      </c>
      <c r="J41" s="22">
        <v>1</v>
      </c>
      <c r="K41" s="22">
        <v>1</v>
      </c>
      <c r="L41" s="22">
        <v>2</v>
      </c>
      <c r="M41" s="22">
        <v>1</v>
      </c>
      <c r="N41" s="22">
        <v>1</v>
      </c>
      <c r="O41" s="22">
        <v>1</v>
      </c>
      <c r="P41" s="22">
        <v>1</v>
      </c>
      <c r="Q41" s="22">
        <v>1</v>
      </c>
      <c r="R41" s="22">
        <v>2</v>
      </c>
      <c r="S41" s="22">
        <v>2</v>
      </c>
      <c r="T41" s="22">
        <v>1</v>
      </c>
      <c r="U41" s="22">
        <v>1</v>
      </c>
      <c r="V41" s="22">
        <v>1</v>
      </c>
      <c r="W41" s="22">
        <v>0</v>
      </c>
      <c r="X41" s="23">
        <v>2</v>
      </c>
      <c r="Y41" s="23">
        <v>1</v>
      </c>
      <c r="Z41" s="23">
        <v>0</v>
      </c>
      <c r="AA41" s="23">
        <v>2</v>
      </c>
      <c r="AB41" s="22">
        <v>1</v>
      </c>
      <c r="AC41" s="22">
        <v>0</v>
      </c>
      <c r="AD41" s="22">
        <v>2</v>
      </c>
      <c r="AE41" s="22">
        <v>1</v>
      </c>
      <c r="AF41" s="22">
        <v>2</v>
      </c>
      <c r="AG41" s="22">
        <v>0</v>
      </c>
      <c r="AH41" s="22">
        <v>1</v>
      </c>
      <c r="AI41" s="22">
        <v>2</v>
      </c>
      <c r="AJ41" s="22">
        <v>0</v>
      </c>
      <c r="AK41" s="22">
        <v>2</v>
      </c>
      <c r="AL41" s="22">
        <v>0</v>
      </c>
      <c r="AM41" s="22">
        <v>2</v>
      </c>
      <c r="AN41" s="40">
        <f t="shared" si="0"/>
        <v>38</v>
      </c>
      <c r="AO41" s="25">
        <v>0</v>
      </c>
      <c r="AP41" s="26">
        <v>1</v>
      </c>
      <c r="AQ41" s="26">
        <v>0</v>
      </c>
      <c r="AR41" s="26">
        <v>0</v>
      </c>
      <c r="AS41" s="26">
        <v>1</v>
      </c>
      <c r="AT41" s="26">
        <v>3</v>
      </c>
      <c r="AU41" s="26">
        <v>2</v>
      </c>
      <c r="AV41" s="26">
        <v>4</v>
      </c>
      <c r="AW41" s="26">
        <v>1</v>
      </c>
      <c r="AX41" s="26">
        <v>0</v>
      </c>
      <c r="AY41" s="26">
        <v>2</v>
      </c>
      <c r="AZ41" s="26">
        <v>1</v>
      </c>
      <c r="BA41" s="26">
        <v>0</v>
      </c>
      <c r="BB41" s="26">
        <v>2</v>
      </c>
      <c r="BC41" s="26">
        <v>2</v>
      </c>
      <c r="BD41" s="26">
        <v>1</v>
      </c>
      <c r="BE41" s="26">
        <v>1</v>
      </c>
      <c r="BF41" s="26">
        <v>1</v>
      </c>
      <c r="BG41" s="26">
        <v>1</v>
      </c>
      <c r="BH41" s="26">
        <v>0</v>
      </c>
      <c r="BI41" s="26">
        <v>0</v>
      </c>
      <c r="BJ41" s="26">
        <v>2</v>
      </c>
      <c r="BK41" s="26">
        <v>2</v>
      </c>
      <c r="BL41" s="26" t="s">
        <v>172</v>
      </c>
      <c r="BM41" s="26">
        <v>0</v>
      </c>
      <c r="BN41" s="26">
        <v>1</v>
      </c>
      <c r="BO41" s="26">
        <v>1</v>
      </c>
      <c r="BP41" s="26">
        <v>1</v>
      </c>
      <c r="BQ41" s="26">
        <v>3</v>
      </c>
      <c r="BR41" s="26">
        <v>0</v>
      </c>
      <c r="BS41" s="26">
        <v>2</v>
      </c>
      <c r="BT41" s="26">
        <v>3</v>
      </c>
      <c r="BU41" s="26">
        <v>2</v>
      </c>
      <c r="BV41" s="26">
        <v>1</v>
      </c>
      <c r="BW41" s="26">
        <v>0</v>
      </c>
      <c r="BX41" s="26">
        <v>2</v>
      </c>
      <c r="BY41" s="26">
        <v>2</v>
      </c>
      <c r="BZ41" s="26">
        <v>2</v>
      </c>
      <c r="CA41" s="26">
        <v>2</v>
      </c>
      <c r="CB41" s="26">
        <v>0</v>
      </c>
      <c r="CC41" s="26">
        <v>2</v>
      </c>
      <c r="CD41" s="26">
        <v>2</v>
      </c>
      <c r="CE41" s="63">
        <f t="shared" si="1"/>
        <v>53</v>
      </c>
      <c r="CF41" s="63">
        <f t="shared" si="2"/>
        <v>91</v>
      </c>
      <c r="CG41" s="64">
        <f t="shared" si="3"/>
        <v>39</v>
      </c>
      <c r="CH41" s="114">
        <v>28.6</v>
      </c>
      <c r="CI41" s="115">
        <f t="shared" si="4"/>
        <v>67.599999999999994</v>
      </c>
    </row>
    <row r="42" spans="1:87" ht="15" customHeight="1">
      <c r="A42" s="20">
        <v>20</v>
      </c>
      <c r="B42" s="117" t="s">
        <v>100</v>
      </c>
      <c r="C42" s="106" t="s">
        <v>166</v>
      </c>
      <c r="D42" s="109" t="s">
        <v>171</v>
      </c>
      <c r="E42" s="110"/>
      <c r="F42" s="21">
        <v>1</v>
      </c>
      <c r="G42" s="22">
        <v>1</v>
      </c>
      <c r="H42" s="22">
        <v>1</v>
      </c>
      <c r="I42" s="22">
        <v>1</v>
      </c>
      <c r="J42" s="22">
        <v>1</v>
      </c>
      <c r="K42" s="22">
        <v>1</v>
      </c>
      <c r="L42" s="22">
        <v>2</v>
      </c>
      <c r="M42" s="22">
        <v>2</v>
      </c>
      <c r="N42" s="22">
        <v>1</v>
      </c>
      <c r="O42" s="22">
        <v>1</v>
      </c>
      <c r="P42" s="22">
        <v>1</v>
      </c>
      <c r="Q42" s="22">
        <v>1</v>
      </c>
      <c r="R42" s="22">
        <v>2</v>
      </c>
      <c r="S42" s="22">
        <v>2</v>
      </c>
      <c r="T42" s="22">
        <v>2</v>
      </c>
      <c r="U42" s="22">
        <v>1</v>
      </c>
      <c r="V42" s="22">
        <v>1</v>
      </c>
      <c r="W42" s="22">
        <v>2</v>
      </c>
      <c r="X42" s="23">
        <v>2</v>
      </c>
      <c r="Y42" s="23">
        <v>1</v>
      </c>
      <c r="Z42" s="23">
        <v>1</v>
      </c>
      <c r="AA42" s="23">
        <v>0</v>
      </c>
      <c r="AB42" s="22">
        <v>2</v>
      </c>
      <c r="AC42" s="22">
        <v>2</v>
      </c>
      <c r="AD42" s="22">
        <v>2</v>
      </c>
      <c r="AE42" s="22">
        <v>1</v>
      </c>
      <c r="AF42" s="22">
        <v>2</v>
      </c>
      <c r="AG42" s="22">
        <v>0</v>
      </c>
      <c r="AH42" s="22">
        <v>0</v>
      </c>
      <c r="AI42" s="22">
        <v>2</v>
      </c>
      <c r="AJ42" s="22">
        <v>1</v>
      </c>
      <c r="AK42" s="22">
        <v>2</v>
      </c>
      <c r="AL42" s="22">
        <v>2</v>
      </c>
      <c r="AM42" s="22">
        <v>2</v>
      </c>
      <c r="AN42" s="40">
        <f t="shared" si="0"/>
        <v>46</v>
      </c>
      <c r="AO42" s="25">
        <v>2</v>
      </c>
      <c r="AP42" s="26">
        <v>1</v>
      </c>
      <c r="AQ42" s="26">
        <v>0</v>
      </c>
      <c r="AR42" s="26">
        <v>1</v>
      </c>
      <c r="AS42" s="26">
        <v>2</v>
      </c>
      <c r="AT42" s="26">
        <v>1</v>
      </c>
      <c r="AU42" s="26">
        <v>1</v>
      </c>
      <c r="AV42" s="26">
        <v>4</v>
      </c>
      <c r="AW42" s="26">
        <v>1</v>
      </c>
      <c r="AX42" s="26">
        <v>3</v>
      </c>
      <c r="AY42" s="26">
        <v>2</v>
      </c>
      <c r="AZ42" s="26">
        <v>1</v>
      </c>
      <c r="BA42" s="26">
        <v>0</v>
      </c>
      <c r="BB42" s="26">
        <v>2</v>
      </c>
      <c r="BC42" s="26">
        <v>2</v>
      </c>
      <c r="BD42" s="26">
        <v>1</v>
      </c>
      <c r="BE42" s="26">
        <v>1</v>
      </c>
      <c r="BF42" s="26">
        <v>1</v>
      </c>
      <c r="BG42" s="26">
        <v>1</v>
      </c>
      <c r="BH42" s="26">
        <v>3</v>
      </c>
      <c r="BI42" s="26">
        <v>2</v>
      </c>
      <c r="BJ42" s="26">
        <v>2</v>
      </c>
      <c r="BK42" s="26">
        <v>2</v>
      </c>
      <c r="BL42" s="26">
        <v>2</v>
      </c>
      <c r="BM42" s="26">
        <v>1</v>
      </c>
      <c r="BN42" s="26">
        <v>1</v>
      </c>
      <c r="BO42" s="26">
        <v>1</v>
      </c>
      <c r="BP42" s="26">
        <v>1</v>
      </c>
      <c r="BQ42" s="26">
        <v>3</v>
      </c>
      <c r="BR42" s="26">
        <v>1</v>
      </c>
      <c r="BS42" s="26">
        <v>2</v>
      </c>
      <c r="BT42" s="26">
        <v>3</v>
      </c>
      <c r="BU42" s="26">
        <v>2</v>
      </c>
      <c r="BV42" s="26">
        <v>0</v>
      </c>
      <c r="BW42" s="26">
        <v>2</v>
      </c>
      <c r="BX42" s="26">
        <v>0</v>
      </c>
      <c r="BY42" s="26">
        <v>2</v>
      </c>
      <c r="BZ42" s="26">
        <v>2</v>
      </c>
      <c r="CA42" s="26">
        <v>2</v>
      </c>
      <c r="CB42" s="26">
        <v>0</v>
      </c>
      <c r="CC42" s="26">
        <v>2</v>
      </c>
      <c r="CD42" s="26">
        <v>1</v>
      </c>
      <c r="CE42" s="63">
        <f t="shared" si="1"/>
        <v>64</v>
      </c>
      <c r="CF42" s="63">
        <f t="shared" si="2"/>
        <v>110</v>
      </c>
      <c r="CG42" s="64">
        <f t="shared" si="3"/>
        <v>47.142857142857139</v>
      </c>
      <c r="CH42" s="114">
        <v>26</v>
      </c>
      <c r="CI42" s="115">
        <f t="shared" si="4"/>
        <v>73.142857142857139</v>
      </c>
    </row>
    <row r="43" spans="1:87" ht="15" customHeight="1">
      <c r="A43" s="20">
        <v>21</v>
      </c>
      <c r="B43" s="117" t="s">
        <v>101</v>
      </c>
      <c r="C43" s="106" t="s">
        <v>166</v>
      </c>
      <c r="D43" s="109" t="s">
        <v>171</v>
      </c>
      <c r="E43" s="110"/>
      <c r="F43" s="21">
        <v>0</v>
      </c>
      <c r="G43" s="22">
        <v>1</v>
      </c>
      <c r="H43" s="22">
        <v>1</v>
      </c>
      <c r="I43" s="22">
        <v>1</v>
      </c>
      <c r="J43" s="22">
        <v>0</v>
      </c>
      <c r="K43" s="22">
        <v>1</v>
      </c>
      <c r="L43" s="22">
        <v>0</v>
      </c>
      <c r="M43" s="22">
        <v>2</v>
      </c>
      <c r="N43" s="22">
        <v>0</v>
      </c>
      <c r="O43" s="22">
        <v>1</v>
      </c>
      <c r="P43" s="22">
        <v>0</v>
      </c>
      <c r="Q43" s="22">
        <v>1</v>
      </c>
      <c r="R43" s="22">
        <v>0</v>
      </c>
      <c r="S43" s="22">
        <v>1</v>
      </c>
      <c r="T43" s="22">
        <v>1</v>
      </c>
      <c r="U43" s="22">
        <v>0</v>
      </c>
      <c r="V43" s="22">
        <v>0</v>
      </c>
      <c r="W43" s="22">
        <v>0</v>
      </c>
      <c r="X43" s="23">
        <v>0</v>
      </c>
      <c r="Y43" s="23">
        <v>1</v>
      </c>
      <c r="Z43" s="23">
        <v>0</v>
      </c>
      <c r="AA43" s="23">
        <v>0</v>
      </c>
      <c r="AB43" s="22">
        <v>2</v>
      </c>
      <c r="AC43" s="22">
        <v>0</v>
      </c>
      <c r="AD43" s="22">
        <v>2</v>
      </c>
      <c r="AE43" s="22">
        <v>2</v>
      </c>
      <c r="AF43" s="22">
        <v>2</v>
      </c>
      <c r="AG43" s="22">
        <v>0</v>
      </c>
      <c r="AH43" s="22">
        <v>0</v>
      </c>
      <c r="AI43" s="22">
        <v>2</v>
      </c>
      <c r="AJ43" s="22">
        <v>2</v>
      </c>
      <c r="AK43" s="22">
        <v>2</v>
      </c>
      <c r="AL43" s="22">
        <v>0</v>
      </c>
      <c r="AM43" s="22">
        <v>0</v>
      </c>
      <c r="AN43" s="40">
        <f t="shared" si="0"/>
        <v>25</v>
      </c>
      <c r="AO43" s="25">
        <v>2</v>
      </c>
      <c r="AP43" s="26">
        <v>1</v>
      </c>
      <c r="AQ43" s="26">
        <v>0</v>
      </c>
      <c r="AR43" s="26">
        <v>0</v>
      </c>
      <c r="AS43" s="26">
        <v>1</v>
      </c>
      <c r="AT43" s="26">
        <v>0</v>
      </c>
      <c r="AU43" s="26">
        <v>1</v>
      </c>
      <c r="AV43" s="26">
        <v>1</v>
      </c>
      <c r="AW43" s="26">
        <v>1</v>
      </c>
      <c r="AX43" s="26">
        <v>0</v>
      </c>
      <c r="AY43" s="26">
        <v>2</v>
      </c>
      <c r="AZ43" s="26">
        <v>0</v>
      </c>
      <c r="BA43" s="26">
        <v>0</v>
      </c>
      <c r="BB43" s="26">
        <v>2</v>
      </c>
      <c r="BC43" s="26">
        <v>2</v>
      </c>
      <c r="BD43" s="26">
        <v>1</v>
      </c>
      <c r="BE43" s="26">
        <v>1</v>
      </c>
      <c r="BF43" s="26">
        <v>1</v>
      </c>
      <c r="BG43" s="26">
        <v>1</v>
      </c>
      <c r="BH43" s="26">
        <v>3</v>
      </c>
      <c r="BI43" s="26">
        <v>2</v>
      </c>
      <c r="BJ43" s="26">
        <v>0</v>
      </c>
      <c r="BK43" s="26">
        <v>0</v>
      </c>
      <c r="BL43" s="26" t="s">
        <v>172</v>
      </c>
      <c r="BM43" s="26">
        <v>1</v>
      </c>
      <c r="BN43" s="26">
        <v>1</v>
      </c>
      <c r="BO43" s="26">
        <v>1</v>
      </c>
      <c r="BP43" s="26">
        <v>1</v>
      </c>
      <c r="BQ43" s="26">
        <v>2</v>
      </c>
      <c r="BR43" s="26">
        <v>0</v>
      </c>
      <c r="BS43" s="26">
        <v>0</v>
      </c>
      <c r="BT43" s="26">
        <v>1</v>
      </c>
      <c r="BU43" s="26">
        <v>2</v>
      </c>
      <c r="BV43" s="26">
        <v>1</v>
      </c>
      <c r="BW43" s="26">
        <v>0</v>
      </c>
      <c r="BX43" s="26">
        <v>0</v>
      </c>
      <c r="BY43" s="26">
        <v>2</v>
      </c>
      <c r="BZ43" s="26">
        <v>0</v>
      </c>
      <c r="CA43" s="26">
        <v>1</v>
      </c>
      <c r="CB43" s="26">
        <v>0</v>
      </c>
      <c r="CC43" s="26">
        <v>0</v>
      </c>
      <c r="CD43" s="26">
        <v>0</v>
      </c>
      <c r="CE43" s="63">
        <f t="shared" si="1"/>
        <v>35</v>
      </c>
      <c r="CF43" s="63">
        <f t="shared" si="2"/>
        <v>60</v>
      </c>
      <c r="CG43" s="64">
        <f t="shared" si="3"/>
        <v>25.714285714285712</v>
      </c>
      <c r="CH43" s="114">
        <v>30.8</v>
      </c>
      <c r="CI43" s="115">
        <f t="shared" si="4"/>
        <v>56.514285714285712</v>
      </c>
    </row>
    <row r="44" spans="1:87" ht="15" customHeight="1">
      <c r="A44" s="20">
        <v>22</v>
      </c>
      <c r="B44" s="117" t="s">
        <v>102</v>
      </c>
      <c r="C44" s="106" t="s">
        <v>166</v>
      </c>
      <c r="D44" s="109" t="s">
        <v>171</v>
      </c>
      <c r="E44" s="110"/>
      <c r="F44" s="21">
        <v>1</v>
      </c>
      <c r="G44" s="22">
        <v>0</v>
      </c>
      <c r="H44" s="22">
        <v>1</v>
      </c>
      <c r="I44" s="22">
        <v>1</v>
      </c>
      <c r="J44" s="22">
        <v>1</v>
      </c>
      <c r="K44" s="22">
        <v>1</v>
      </c>
      <c r="L44" s="22">
        <v>2</v>
      </c>
      <c r="M44" s="22">
        <v>2</v>
      </c>
      <c r="N44" s="22">
        <v>1</v>
      </c>
      <c r="O44" s="22">
        <v>1</v>
      </c>
      <c r="P44" s="22">
        <v>1</v>
      </c>
      <c r="Q44" s="22">
        <v>1</v>
      </c>
      <c r="R44" s="22">
        <v>0</v>
      </c>
      <c r="S44" s="22">
        <v>1</v>
      </c>
      <c r="T44" s="22">
        <v>3</v>
      </c>
      <c r="U44" s="22">
        <v>0</v>
      </c>
      <c r="V44" s="22">
        <v>1</v>
      </c>
      <c r="W44" s="22">
        <v>0</v>
      </c>
      <c r="X44" s="23">
        <v>2</v>
      </c>
      <c r="Y44" s="23">
        <v>1</v>
      </c>
      <c r="Z44" s="23">
        <v>1</v>
      </c>
      <c r="AA44" s="23">
        <v>2</v>
      </c>
      <c r="AB44" s="22">
        <v>2</v>
      </c>
      <c r="AC44" s="22">
        <v>0</v>
      </c>
      <c r="AD44" s="22">
        <v>2</v>
      </c>
      <c r="AE44" s="22">
        <v>2</v>
      </c>
      <c r="AF44" s="22">
        <v>2</v>
      </c>
      <c r="AG44" s="22">
        <v>0</v>
      </c>
      <c r="AH44" s="22">
        <v>0</v>
      </c>
      <c r="AI44" s="22">
        <v>2</v>
      </c>
      <c r="AJ44" s="22">
        <v>3</v>
      </c>
      <c r="AK44" s="22">
        <v>2</v>
      </c>
      <c r="AL44" s="22">
        <v>0</v>
      </c>
      <c r="AM44" s="22">
        <v>0</v>
      </c>
      <c r="AN44" s="40">
        <f t="shared" si="0"/>
        <v>39</v>
      </c>
      <c r="AO44" s="25">
        <v>2</v>
      </c>
      <c r="AP44" s="26">
        <v>1</v>
      </c>
      <c r="AQ44" s="26">
        <v>1</v>
      </c>
      <c r="AR44" s="26">
        <v>1</v>
      </c>
      <c r="AS44" s="26">
        <v>0</v>
      </c>
      <c r="AT44" s="26">
        <v>3</v>
      </c>
      <c r="AU44" s="26">
        <v>2</v>
      </c>
      <c r="AV44" s="26">
        <v>4</v>
      </c>
      <c r="AW44" s="26">
        <v>1</v>
      </c>
      <c r="AX44" s="26">
        <v>0</v>
      </c>
      <c r="AY44" s="26">
        <v>2</v>
      </c>
      <c r="AZ44" s="26">
        <v>1</v>
      </c>
      <c r="BA44" s="41">
        <v>1</v>
      </c>
      <c r="BB44" s="41">
        <v>2</v>
      </c>
      <c r="BC44" s="41">
        <v>2</v>
      </c>
      <c r="BD44" s="41">
        <v>1</v>
      </c>
      <c r="BE44" s="41">
        <v>1</v>
      </c>
      <c r="BF44" s="41">
        <v>1</v>
      </c>
      <c r="BG44" s="41">
        <v>1</v>
      </c>
      <c r="BH44" s="41">
        <v>3</v>
      </c>
      <c r="BI44" s="41">
        <v>0</v>
      </c>
      <c r="BJ44" s="41">
        <v>2</v>
      </c>
      <c r="BK44" s="41">
        <v>0</v>
      </c>
      <c r="BL44" s="41" t="s">
        <v>172</v>
      </c>
      <c r="BM44" s="41">
        <v>1</v>
      </c>
      <c r="BN44" s="41">
        <v>0</v>
      </c>
      <c r="BO44" s="41">
        <v>1</v>
      </c>
      <c r="BP44" s="41">
        <v>1</v>
      </c>
      <c r="BQ44" s="41">
        <v>3</v>
      </c>
      <c r="BR44" s="41">
        <v>1</v>
      </c>
      <c r="BS44" s="41">
        <v>2</v>
      </c>
      <c r="BT44" s="41">
        <v>3</v>
      </c>
      <c r="BU44" s="41">
        <v>2</v>
      </c>
      <c r="BV44" s="41">
        <v>1</v>
      </c>
      <c r="BW44" s="41">
        <v>0</v>
      </c>
      <c r="BX44" s="41">
        <v>0</v>
      </c>
      <c r="BY44" s="41">
        <v>0</v>
      </c>
      <c r="BZ44" s="41">
        <v>0</v>
      </c>
      <c r="CA44" s="41">
        <v>2</v>
      </c>
      <c r="CB44" s="41">
        <v>0</v>
      </c>
      <c r="CC44" s="41">
        <v>2</v>
      </c>
      <c r="CD44" s="41">
        <v>0</v>
      </c>
      <c r="CE44" s="63">
        <f t="shared" si="1"/>
        <v>51</v>
      </c>
      <c r="CF44" s="63">
        <f t="shared" si="2"/>
        <v>90</v>
      </c>
      <c r="CG44" s="64">
        <f t="shared" si="3"/>
        <v>38.571428571428577</v>
      </c>
      <c r="CH44" s="114">
        <v>26.2</v>
      </c>
      <c r="CI44" s="115">
        <f t="shared" si="4"/>
        <v>64.771428571428572</v>
      </c>
    </row>
    <row r="45" spans="1:87" ht="15" customHeight="1">
      <c r="A45" s="20">
        <v>23</v>
      </c>
      <c r="B45" s="119" t="s">
        <v>103</v>
      </c>
      <c r="C45" s="106" t="s">
        <v>167</v>
      </c>
      <c r="D45" s="109" t="s">
        <v>170</v>
      </c>
      <c r="E45" s="110"/>
      <c r="F45" s="21">
        <v>0</v>
      </c>
      <c r="G45" s="22">
        <v>1</v>
      </c>
      <c r="H45" s="22">
        <v>1</v>
      </c>
      <c r="I45" s="22">
        <v>0</v>
      </c>
      <c r="J45" s="22">
        <v>1</v>
      </c>
      <c r="K45" s="22">
        <v>1</v>
      </c>
      <c r="L45" s="22">
        <v>2</v>
      </c>
      <c r="M45" s="22">
        <v>2</v>
      </c>
      <c r="N45" s="22">
        <v>1</v>
      </c>
      <c r="O45" s="22">
        <v>1</v>
      </c>
      <c r="P45" s="22">
        <v>1</v>
      </c>
      <c r="Q45" s="22">
        <v>1</v>
      </c>
      <c r="R45" s="22">
        <v>2</v>
      </c>
      <c r="S45" s="22">
        <v>1</v>
      </c>
      <c r="T45" s="22">
        <v>3</v>
      </c>
      <c r="U45" s="22">
        <v>0</v>
      </c>
      <c r="V45" s="22">
        <v>1</v>
      </c>
      <c r="W45" s="22">
        <v>1</v>
      </c>
      <c r="X45" s="23">
        <v>2</v>
      </c>
      <c r="Y45" s="23">
        <v>0</v>
      </c>
      <c r="Z45" s="23">
        <v>0</v>
      </c>
      <c r="AA45" s="23">
        <v>1</v>
      </c>
      <c r="AB45" s="22">
        <v>2</v>
      </c>
      <c r="AC45" s="22">
        <v>0</v>
      </c>
      <c r="AD45" s="22">
        <v>2</v>
      </c>
      <c r="AE45" s="22">
        <v>2</v>
      </c>
      <c r="AF45" s="22">
        <v>2</v>
      </c>
      <c r="AG45" s="22">
        <v>0</v>
      </c>
      <c r="AH45" s="22">
        <v>0</v>
      </c>
      <c r="AI45" s="22">
        <v>2</v>
      </c>
      <c r="AJ45" s="22">
        <v>0</v>
      </c>
      <c r="AK45" s="22">
        <v>2</v>
      </c>
      <c r="AL45" s="22">
        <v>0</v>
      </c>
      <c r="AM45" s="22">
        <v>0</v>
      </c>
      <c r="AN45" s="40">
        <f t="shared" si="0"/>
        <v>35</v>
      </c>
      <c r="AO45" s="25">
        <v>2</v>
      </c>
      <c r="AP45" s="26">
        <v>1</v>
      </c>
      <c r="AQ45" s="26">
        <v>0</v>
      </c>
      <c r="AR45" s="26">
        <v>0</v>
      </c>
      <c r="AS45" s="26">
        <v>0</v>
      </c>
      <c r="AT45" s="26">
        <v>1</v>
      </c>
      <c r="AU45" s="26">
        <v>1</v>
      </c>
      <c r="AV45" s="26">
        <v>4</v>
      </c>
      <c r="AW45" s="26">
        <v>1</v>
      </c>
      <c r="AX45" s="26">
        <v>3</v>
      </c>
      <c r="AY45" s="26">
        <v>0</v>
      </c>
      <c r="AZ45" s="26">
        <v>0</v>
      </c>
      <c r="BA45" s="26">
        <v>0</v>
      </c>
      <c r="BB45" s="26">
        <v>2</v>
      </c>
      <c r="BC45" s="26">
        <v>2</v>
      </c>
      <c r="BD45" s="26">
        <v>1</v>
      </c>
      <c r="BE45" s="26">
        <v>0</v>
      </c>
      <c r="BF45" s="26">
        <v>0</v>
      </c>
      <c r="BG45" s="26">
        <v>1</v>
      </c>
      <c r="BH45" s="26">
        <v>3</v>
      </c>
      <c r="BI45" s="26">
        <v>2</v>
      </c>
      <c r="BJ45" s="26">
        <v>2</v>
      </c>
      <c r="BK45" s="26">
        <v>2</v>
      </c>
      <c r="BL45" s="26" t="s">
        <v>172</v>
      </c>
      <c r="BM45" s="26">
        <v>1</v>
      </c>
      <c r="BN45" s="26">
        <v>1</v>
      </c>
      <c r="BO45" s="26">
        <v>1</v>
      </c>
      <c r="BP45" s="26">
        <v>1</v>
      </c>
      <c r="BQ45" s="26">
        <v>3</v>
      </c>
      <c r="BR45" s="26">
        <v>1</v>
      </c>
      <c r="BS45" s="26">
        <v>2</v>
      </c>
      <c r="BT45" s="26">
        <v>3</v>
      </c>
      <c r="BU45" s="26">
        <v>2</v>
      </c>
      <c r="BV45" s="26">
        <v>1</v>
      </c>
      <c r="BW45" s="26">
        <v>0</v>
      </c>
      <c r="BX45" s="26">
        <v>2</v>
      </c>
      <c r="BY45" s="26">
        <v>2</v>
      </c>
      <c r="BZ45" s="26">
        <v>2</v>
      </c>
      <c r="CA45" s="26">
        <v>2</v>
      </c>
      <c r="CB45" s="26">
        <v>0</v>
      </c>
      <c r="CC45" s="26">
        <v>0</v>
      </c>
      <c r="CD45" s="26">
        <v>0</v>
      </c>
      <c r="CE45" s="63">
        <f t="shared" si="1"/>
        <v>52</v>
      </c>
      <c r="CF45" s="63">
        <f t="shared" si="2"/>
        <v>87</v>
      </c>
      <c r="CG45" s="64">
        <f t="shared" si="3"/>
        <v>37.285714285714285</v>
      </c>
      <c r="CH45" s="114">
        <v>20.6</v>
      </c>
      <c r="CI45" s="115">
        <f t="shared" si="4"/>
        <v>57.885714285714286</v>
      </c>
    </row>
    <row r="46" spans="1:87" ht="15.75" customHeight="1">
      <c r="A46" s="20">
        <v>24</v>
      </c>
      <c r="B46" s="119" t="s">
        <v>104</v>
      </c>
      <c r="C46" s="106" t="s">
        <v>167</v>
      </c>
      <c r="D46" s="109" t="s">
        <v>170</v>
      </c>
      <c r="E46" s="110"/>
      <c r="F46" s="21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2</v>
      </c>
      <c r="M46" s="22">
        <v>2</v>
      </c>
      <c r="N46" s="22">
        <v>0</v>
      </c>
      <c r="O46" s="22">
        <v>1</v>
      </c>
      <c r="P46" s="22">
        <v>1</v>
      </c>
      <c r="Q46" s="22">
        <v>1</v>
      </c>
      <c r="R46" s="22">
        <v>2</v>
      </c>
      <c r="S46" s="22">
        <v>1</v>
      </c>
      <c r="T46" s="22">
        <v>1</v>
      </c>
      <c r="U46" s="22">
        <v>0</v>
      </c>
      <c r="V46" s="22">
        <v>1</v>
      </c>
      <c r="W46" s="22">
        <v>0</v>
      </c>
      <c r="X46" s="23">
        <v>0</v>
      </c>
      <c r="Y46" s="23">
        <v>0</v>
      </c>
      <c r="Z46" s="23">
        <v>0</v>
      </c>
      <c r="AA46" s="23">
        <v>2</v>
      </c>
      <c r="AB46" s="22">
        <v>2</v>
      </c>
      <c r="AC46" s="22">
        <v>0</v>
      </c>
      <c r="AD46" s="22">
        <v>1</v>
      </c>
      <c r="AE46" s="22">
        <v>2</v>
      </c>
      <c r="AF46" s="22">
        <v>1</v>
      </c>
      <c r="AG46" s="22">
        <v>0</v>
      </c>
      <c r="AH46" s="22">
        <v>0</v>
      </c>
      <c r="AI46" s="22">
        <v>0</v>
      </c>
      <c r="AJ46" s="22">
        <v>1</v>
      </c>
      <c r="AK46" s="22">
        <v>1</v>
      </c>
      <c r="AL46" s="22">
        <v>0</v>
      </c>
      <c r="AM46" s="22">
        <v>0</v>
      </c>
      <c r="AN46" s="40">
        <f t="shared" si="0"/>
        <v>22</v>
      </c>
      <c r="AO46" s="25">
        <v>1</v>
      </c>
      <c r="AP46" s="26">
        <v>1</v>
      </c>
      <c r="AQ46" s="26">
        <v>0</v>
      </c>
      <c r="AR46" s="26">
        <v>1</v>
      </c>
      <c r="AS46" s="26">
        <v>0</v>
      </c>
      <c r="AT46" s="26">
        <v>2</v>
      </c>
      <c r="AU46" s="26">
        <v>2</v>
      </c>
      <c r="AV46" s="26">
        <v>1</v>
      </c>
      <c r="AW46" s="26">
        <v>1</v>
      </c>
      <c r="AX46" s="26">
        <v>0</v>
      </c>
      <c r="AY46" s="26">
        <v>2</v>
      </c>
      <c r="AZ46" s="26">
        <v>1</v>
      </c>
      <c r="BA46" s="26">
        <v>0</v>
      </c>
      <c r="BB46" s="26">
        <v>2</v>
      </c>
      <c r="BC46" s="26">
        <v>2</v>
      </c>
      <c r="BD46" s="26">
        <v>1</v>
      </c>
      <c r="BE46" s="26">
        <v>0</v>
      </c>
      <c r="BF46" s="26">
        <v>1</v>
      </c>
      <c r="BG46" s="26">
        <v>1</v>
      </c>
      <c r="BH46" s="26">
        <v>0</v>
      </c>
      <c r="BI46" s="26">
        <v>0</v>
      </c>
      <c r="BJ46" s="26">
        <v>0</v>
      </c>
      <c r="BK46" s="26">
        <v>0</v>
      </c>
      <c r="BL46" s="26" t="s">
        <v>172</v>
      </c>
      <c r="BM46" s="26">
        <v>0</v>
      </c>
      <c r="BN46" s="26">
        <v>1</v>
      </c>
      <c r="BO46" s="26">
        <v>1</v>
      </c>
      <c r="BP46" s="26">
        <v>1</v>
      </c>
      <c r="BQ46" s="26">
        <v>0</v>
      </c>
      <c r="BR46" s="26">
        <v>0</v>
      </c>
      <c r="BS46" s="26">
        <v>0</v>
      </c>
      <c r="BT46" s="26">
        <v>0</v>
      </c>
      <c r="BU46" s="26">
        <v>2</v>
      </c>
      <c r="BV46" s="26">
        <v>0</v>
      </c>
      <c r="BW46" s="26">
        <v>0</v>
      </c>
      <c r="BX46" s="26">
        <v>0</v>
      </c>
      <c r="BY46" s="26">
        <v>0</v>
      </c>
      <c r="BZ46" s="26">
        <v>0</v>
      </c>
      <c r="CA46" s="26">
        <v>2</v>
      </c>
      <c r="CB46" s="26">
        <v>0</v>
      </c>
      <c r="CC46" s="26">
        <v>0</v>
      </c>
      <c r="CD46" s="26">
        <v>0</v>
      </c>
      <c r="CE46" s="63">
        <f t="shared" si="1"/>
        <v>26</v>
      </c>
      <c r="CF46" s="63">
        <f t="shared" si="2"/>
        <v>48</v>
      </c>
      <c r="CG46" s="64">
        <f t="shared" si="3"/>
        <v>20.571428571428573</v>
      </c>
      <c r="CH46" s="114">
        <v>24.8</v>
      </c>
      <c r="CI46" s="115">
        <f t="shared" si="4"/>
        <v>45.371428571428574</v>
      </c>
    </row>
    <row r="47" spans="1:87" ht="15" customHeight="1">
      <c r="A47" s="20">
        <v>25</v>
      </c>
      <c r="B47" s="119" t="s">
        <v>105</v>
      </c>
      <c r="C47" s="106" t="s">
        <v>167</v>
      </c>
      <c r="D47" s="109" t="s">
        <v>170</v>
      </c>
      <c r="E47" s="110"/>
      <c r="F47" s="21">
        <v>0</v>
      </c>
      <c r="G47" s="22">
        <v>0</v>
      </c>
      <c r="H47" s="22">
        <v>1</v>
      </c>
      <c r="I47" s="22">
        <v>0</v>
      </c>
      <c r="J47" s="22">
        <v>1</v>
      </c>
      <c r="K47" s="22">
        <v>1</v>
      </c>
      <c r="L47" s="22">
        <v>1</v>
      </c>
      <c r="M47" s="22">
        <v>1</v>
      </c>
      <c r="N47" s="22">
        <v>1</v>
      </c>
      <c r="O47" s="22">
        <v>0</v>
      </c>
      <c r="P47" s="22">
        <v>0</v>
      </c>
      <c r="Q47" s="22">
        <v>1</v>
      </c>
      <c r="R47" s="22">
        <v>0</v>
      </c>
      <c r="S47" s="22">
        <v>1</v>
      </c>
      <c r="T47" s="22">
        <v>3</v>
      </c>
      <c r="U47" s="22">
        <v>0</v>
      </c>
      <c r="V47" s="22">
        <v>1</v>
      </c>
      <c r="W47" s="22">
        <v>1</v>
      </c>
      <c r="X47" s="23">
        <v>1</v>
      </c>
      <c r="Y47" s="23">
        <v>1</v>
      </c>
      <c r="Z47" s="23">
        <v>1</v>
      </c>
      <c r="AA47" s="23">
        <v>1</v>
      </c>
      <c r="AB47" s="22">
        <v>2</v>
      </c>
      <c r="AC47" s="22">
        <v>0</v>
      </c>
      <c r="AD47" s="22">
        <v>2</v>
      </c>
      <c r="AE47" s="22">
        <v>0</v>
      </c>
      <c r="AF47" s="22">
        <v>1</v>
      </c>
      <c r="AG47" s="22">
        <v>0</v>
      </c>
      <c r="AH47" s="22">
        <v>0</v>
      </c>
      <c r="AI47" s="22">
        <v>2</v>
      </c>
      <c r="AJ47" s="22">
        <v>2</v>
      </c>
      <c r="AK47" s="22">
        <v>0</v>
      </c>
      <c r="AL47" s="22">
        <v>0</v>
      </c>
      <c r="AM47" s="22">
        <v>0</v>
      </c>
      <c r="AN47" s="40">
        <f t="shared" si="0"/>
        <v>26</v>
      </c>
      <c r="AO47" s="25">
        <v>0</v>
      </c>
      <c r="AP47" s="26">
        <v>1</v>
      </c>
      <c r="AQ47" s="26">
        <v>0</v>
      </c>
      <c r="AR47" s="26">
        <v>1</v>
      </c>
      <c r="AS47" s="26">
        <v>2</v>
      </c>
      <c r="AT47" s="26">
        <v>1</v>
      </c>
      <c r="AU47" s="26">
        <v>0</v>
      </c>
      <c r="AV47" s="26">
        <v>0</v>
      </c>
      <c r="AW47" s="26">
        <v>1</v>
      </c>
      <c r="AX47" s="26">
        <v>0</v>
      </c>
      <c r="AY47" s="26">
        <v>2</v>
      </c>
      <c r="AZ47" s="26">
        <v>1</v>
      </c>
      <c r="BA47" s="26">
        <v>0</v>
      </c>
      <c r="BB47" s="26">
        <v>2</v>
      </c>
      <c r="BC47" s="26">
        <v>2</v>
      </c>
      <c r="BD47" s="26">
        <v>1</v>
      </c>
      <c r="BE47" s="26">
        <v>1</v>
      </c>
      <c r="BF47" s="26">
        <v>1</v>
      </c>
      <c r="BG47" s="26">
        <v>1</v>
      </c>
      <c r="BH47" s="26">
        <v>0</v>
      </c>
      <c r="BI47" s="26">
        <v>0</v>
      </c>
      <c r="BJ47" s="26">
        <v>0</v>
      </c>
      <c r="BK47" s="26" t="s">
        <v>172</v>
      </c>
      <c r="BL47" s="26">
        <v>2</v>
      </c>
      <c r="BM47" s="26">
        <v>0</v>
      </c>
      <c r="BN47" s="26">
        <v>1</v>
      </c>
      <c r="BO47" s="26">
        <v>1</v>
      </c>
      <c r="BP47" s="26">
        <v>1</v>
      </c>
      <c r="BQ47" s="26">
        <v>1</v>
      </c>
      <c r="BR47" s="26" t="s">
        <v>172</v>
      </c>
      <c r="BS47" s="26">
        <v>2</v>
      </c>
      <c r="BT47" s="26">
        <v>2</v>
      </c>
      <c r="BU47" s="26">
        <v>2</v>
      </c>
      <c r="BV47" s="26">
        <v>0</v>
      </c>
      <c r="BW47" s="26">
        <v>0</v>
      </c>
      <c r="BX47" s="26">
        <v>0</v>
      </c>
      <c r="BY47" s="26">
        <v>2</v>
      </c>
      <c r="BZ47" s="26">
        <v>1</v>
      </c>
      <c r="CA47" s="26">
        <v>2</v>
      </c>
      <c r="CB47" s="26" t="s">
        <v>172</v>
      </c>
      <c r="CC47" s="26">
        <v>0</v>
      </c>
      <c r="CD47" s="26">
        <v>0</v>
      </c>
      <c r="CE47" s="63">
        <f t="shared" si="1"/>
        <v>34</v>
      </c>
      <c r="CF47" s="63">
        <f t="shared" si="2"/>
        <v>60</v>
      </c>
      <c r="CG47" s="64">
        <f t="shared" si="3"/>
        <v>25.714285714285712</v>
      </c>
      <c r="CH47" s="114">
        <v>21.8</v>
      </c>
      <c r="CI47" s="115">
        <f t="shared" si="4"/>
        <v>47.514285714285712</v>
      </c>
    </row>
    <row r="48" spans="1:87" ht="15" customHeight="1">
      <c r="A48" s="20">
        <v>26</v>
      </c>
      <c r="B48" s="119" t="s">
        <v>106</v>
      </c>
      <c r="C48" s="106" t="s">
        <v>167</v>
      </c>
      <c r="D48" s="109" t="s">
        <v>170</v>
      </c>
      <c r="E48" s="110"/>
      <c r="F48" s="21">
        <v>1</v>
      </c>
      <c r="G48" s="22">
        <v>0</v>
      </c>
      <c r="H48" s="22">
        <v>1</v>
      </c>
      <c r="I48" s="22">
        <v>1</v>
      </c>
      <c r="J48" s="22">
        <v>1</v>
      </c>
      <c r="K48" s="22">
        <v>0</v>
      </c>
      <c r="L48" s="22">
        <v>1</v>
      </c>
      <c r="M48" s="22">
        <v>2</v>
      </c>
      <c r="N48" s="22">
        <v>1</v>
      </c>
      <c r="O48" s="22">
        <v>0</v>
      </c>
      <c r="P48" s="22">
        <v>1</v>
      </c>
      <c r="Q48" s="22">
        <v>1</v>
      </c>
      <c r="R48" s="22">
        <v>1</v>
      </c>
      <c r="S48" s="22">
        <v>2</v>
      </c>
      <c r="T48" s="22">
        <v>2</v>
      </c>
      <c r="U48" s="22">
        <v>2</v>
      </c>
      <c r="V48" s="22">
        <v>0</v>
      </c>
      <c r="W48" s="22">
        <v>0</v>
      </c>
      <c r="X48" s="23">
        <v>1</v>
      </c>
      <c r="Y48" s="23">
        <v>0</v>
      </c>
      <c r="Z48" s="23">
        <v>1</v>
      </c>
      <c r="AA48" s="23">
        <v>0</v>
      </c>
      <c r="AB48" s="22">
        <v>0</v>
      </c>
      <c r="AC48" s="22">
        <v>0</v>
      </c>
      <c r="AD48" s="22">
        <v>1</v>
      </c>
      <c r="AE48" s="22">
        <v>2</v>
      </c>
      <c r="AF48" s="22">
        <v>2</v>
      </c>
      <c r="AG48" s="22">
        <v>0</v>
      </c>
      <c r="AH48" s="22">
        <v>0</v>
      </c>
      <c r="AI48" s="22">
        <v>2</v>
      </c>
      <c r="AJ48" s="22">
        <v>3</v>
      </c>
      <c r="AK48" s="22">
        <v>2</v>
      </c>
      <c r="AL48" s="22">
        <v>0</v>
      </c>
      <c r="AM48" s="22">
        <v>2</v>
      </c>
      <c r="AN48" s="40">
        <f t="shared" si="0"/>
        <v>33</v>
      </c>
      <c r="AO48" s="25">
        <v>1</v>
      </c>
      <c r="AP48" s="26">
        <v>1</v>
      </c>
      <c r="AQ48" s="26">
        <v>1</v>
      </c>
      <c r="AR48" s="26">
        <v>0</v>
      </c>
      <c r="AS48" s="26">
        <v>1</v>
      </c>
      <c r="AT48" s="26">
        <v>3</v>
      </c>
      <c r="AU48" s="26">
        <v>2</v>
      </c>
      <c r="AV48" s="26">
        <v>2</v>
      </c>
      <c r="AW48" s="26">
        <v>1</v>
      </c>
      <c r="AX48" s="26">
        <v>1</v>
      </c>
      <c r="AY48" s="26">
        <v>2</v>
      </c>
      <c r="AZ48" s="26">
        <v>1</v>
      </c>
      <c r="BA48" s="26">
        <v>3</v>
      </c>
      <c r="BB48" s="26">
        <v>0</v>
      </c>
      <c r="BC48" s="26">
        <v>0</v>
      </c>
      <c r="BD48" s="26">
        <v>1</v>
      </c>
      <c r="BE48" s="26">
        <v>1</v>
      </c>
      <c r="BF48" s="26">
        <v>1</v>
      </c>
      <c r="BG48" s="26">
        <v>1</v>
      </c>
      <c r="BH48" s="26">
        <v>3</v>
      </c>
      <c r="BI48" s="26">
        <v>0</v>
      </c>
      <c r="BJ48" s="26">
        <v>2</v>
      </c>
      <c r="BK48" s="26">
        <v>0</v>
      </c>
      <c r="BL48" s="26">
        <v>0</v>
      </c>
      <c r="BM48" s="26">
        <v>0</v>
      </c>
      <c r="BN48" s="26">
        <v>1</v>
      </c>
      <c r="BO48" s="26">
        <v>1</v>
      </c>
      <c r="BP48" s="26">
        <v>1</v>
      </c>
      <c r="BQ48" s="26">
        <v>2</v>
      </c>
      <c r="BR48" s="26">
        <v>1</v>
      </c>
      <c r="BS48" s="26">
        <v>2</v>
      </c>
      <c r="BT48" s="26">
        <v>3</v>
      </c>
      <c r="BU48" s="26">
        <v>2</v>
      </c>
      <c r="BV48" s="26">
        <v>0</v>
      </c>
      <c r="BW48" s="26">
        <v>0</v>
      </c>
      <c r="BX48" s="26">
        <v>0</v>
      </c>
      <c r="BY48" s="26">
        <v>2</v>
      </c>
      <c r="BZ48" s="26">
        <v>2</v>
      </c>
      <c r="CA48" s="26">
        <v>1</v>
      </c>
      <c r="CB48" s="26">
        <v>0</v>
      </c>
      <c r="CC48" s="26">
        <v>0</v>
      </c>
      <c r="CD48" s="26">
        <v>0</v>
      </c>
      <c r="CE48" s="63">
        <f t="shared" si="1"/>
        <v>46</v>
      </c>
      <c r="CF48" s="63">
        <f t="shared" si="2"/>
        <v>79</v>
      </c>
      <c r="CG48" s="64">
        <f t="shared" si="3"/>
        <v>33.857142857142854</v>
      </c>
      <c r="CH48" s="114">
        <v>24.4</v>
      </c>
      <c r="CI48" s="115">
        <f t="shared" si="4"/>
        <v>58.257142857142853</v>
      </c>
    </row>
    <row r="49" spans="1:87" ht="15" customHeight="1">
      <c r="A49" s="20">
        <v>27</v>
      </c>
      <c r="B49" s="117" t="s">
        <v>107</v>
      </c>
      <c r="C49" s="106" t="s">
        <v>167</v>
      </c>
      <c r="D49" s="109" t="s">
        <v>170</v>
      </c>
      <c r="E49" s="110"/>
      <c r="F49" s="21">
        <v>1</v>
      </c>
      <c r="G49" s="22">
        <v>0</v>
      </c>
      <c r="H49" s="22">
        <v>1</v>
      </c>
      <c r="I49" s="22">
        <v>1</v>
      </c>
      <c r="J49" s="22">
        <v>0</v>
      </c>
      <c r="K49" s="22">
        <v>0</v>
      </c>
      <c r="L49" s="22">
        <v>1</v>
      </c>
      <c r="M49" s="22">
        <v>1</v>
      </c>
      <c r="N49" s="22">
        <v>0</v>
      </c>
      <c r="O49" s="22">
        <v>1</v>
      </c>
      <c r="P49" s="22">
        <v>1</v>
      </c>
      <c r="Q49" s="22">
        <v>1</v>
      </c>
      <c r="R49" s="22">
        <v>0</v>
      </c>
      <c r="S49" s="22">
        <v>1</v>
      </c>
      <c r="T49" s="22">
        <v>2</v>
      </c>
      <c r="U49" s="22">
        <v>0</v>
      </c>
      <c r="V49" s="22">
        <v>0</v>
      </c>
      <c r="W49" s="22">
        <v>0</v>
      </c>
      <c r="X49" s="23">
        <v>2</v>
      </c>
      <c r="Y49" s="23">
        <v>1</v>
      </c>
      <c r="Z49" s="23">
        <v>1</v>
      </c>
      <c r="AA49" s="23">
        <v>1</v>
      </c>
      <c r="AB49" s="22">
        <v>2</v>
      </c>
      <c r="AC49" s="22">
        <v>2</v>
      </c>
      <c r="AD49" s="22">
        <v>0</v>
      </c>
      <c r="AE49" s="22">
        <v>2</v>
      </c>
      <c r="AF49" s="22">
        <v>2</v>
      </c>
      <c r="AG49" s="22">
        <v>0</v>
      </c>
      <c r="AH49" s="22">
        <v>0</v>
      </c>
      <c r="AI49" s="22">
        <v>0</v>
      </c>
      <c r="AJ49" s="22">
        <v>0</v>
      </c>
      <c r="AK49" s="22">
        <v>1</v>
      </c>
      <c r="AL49" s="22">
        <v>0</v>
      </c>
      <c r="AM49" s="22">
        <v>0</v>
      </c>
      <c r="AN49" s="40">
        <f t="shared" si="0"/>
        <v>25</v>
      </c>
      <c r="AO49" s="25">
        <v>0</v>
      </c>
      <c r="AP49" s="26">
        <v>1</v>
      </c>
      <c r="AQ49" s="26">
        <v>0</v>
      </c>
      <c r="AR49" s="26">
        <v>0</v>
      </c>
      <c r="AS49" s="26">
        <v>0</v>
      </c>
      <c r="AT49" s="26">
        <v>1</v>
      </c>
      <c r="AU49" s="26">
        <v>0</v>
      </c>
      <c r="AV49" s="26">
        <v>0</v>
      </c>
      <c r="AW49" s="26">
        <v>1</v>
      </c>
      <c r="AX49" s="26">
        <v>0</v>
      </c>
      <c r="AY49" s="26">
        <v>0</v>
      </c>
      <c r="AZ49" s="26">
        <v>0</v>
      </c>
      <c r="BA49" s="26">
        <v>1</v>
      </c>
      <c r="BB49" s="26">
        <v>2</v>
      </c>
      <c r="BC49" s="26">
        <v>0</v>
      </c>
      <c r="BD49" s="26">
        <v>1</v>
      </c>
      <c r="BE49" s="26">
        <v>1</v>
      </c>
      <c r="BF49" s="26">
        <v>0</v>
      </c>
      <c r="BG49" s="26">
        <v>1</v>
      </c>
      <c r="BH49" s="26">
        <v>1</v>
      </c>
      <c r="BI49" s="26">
        <v>0</v>
      </c>
      <c r="BJ49" s="26">
        <v>0</v>
      </c>
      <c r="BK49" s="26">
        <v>0</v>
      </c>
      <c r="BL49" s="26">
        <v>2</v>
      </c>
      <c r="BM49" s="26">
        <v>0</v>
      </c>
      <c r="BN49" s="26">
        <v>1</v>
      </c>
      <c r="BO49" s="26">
        <v>1</v>
      </c>
      <c r="BP49" s="26">
        <v>1</v>
      </c>
      <c r="BQ49" s="26">
        <v>1</v>
      </c>
      <c r="BR49" s="26">
        <v>0</v>
      </c>
      <c r="BS49" s="26">
        <v>1</v>
      </c>
      <c r="BT49" s="26">
        <v>1</v>
      </c>
      <c r="BU49" s="26">
        <v>2</v>
      </c>
      <c r="BV49" s="26">
        <v>0</v>
      </c>
      <c r="BW49" s="26">
        <v>2</v>
      </c>
      <c r="BX49" s="26">
        <v>0</v>
      </c>
      <c r="BY49" s="26">
        <v>2</v>
      </c>
      <c r="BZ49" s="26">
        <v>0</v>
      </c>
      <c r="CA49" s="26">
        <v>2</v>
      </c>
      <c r="CB49" s="26">
        <v>0</v>
      </c>
      <c r="CC49" s="26">
        <v>0</v>
      </c>
      <c r="CD49" s="26">
        <v>0</v>
      </c>
      <c r="CE49" s="63">
        <f t="shared" si="1"/>
        <v>26</v>
      </c>
      <c r="CF49" s="63">
        <f t="shared" si="2"/>
        <v>51</v>
      </c>
      <c r="CG49" s="64">
        <f t="shared" si="3"/>
        <v>21.857142857142858</v>
      </c>
      <c r="CH49" s="114">
        <v>17.600000000000001</v>
      </c>
      <c r="CI49" s="115">
        <f t="shared" si="4"/>
        <v>39.457142857142856</v>
      </c>
    </row>
    <row r="50" spans="1:87" ht="15" customHeight="1">
      <c r="A50" s="20">
        <v>28</v>
      </c>
      <c r="B50" s="117" t="s">
        <v>108</v>
      </c>
      <c r="C50" s="106" t="s">
        <v>167</v>
      </c>
      <c r="D50" s="109" t="s">
        <v>170</v>
      </c>
      <c r="E50" s="110"/>
      <c r="F50" s="21">
        <v>0</v>
      </c>
      <c r="G50" s="22">
        <v>0</v>
      </c>
      <c r="H50" s="22">
        <v>1</v>
      </c>
      <c r="I50" s="22">
        <v>0</v>
      </c>
      <c r="J50" s="22">
        <v>0</v>
      </c>
      <c r="K50" s="22">
        <v>0</v>
      </c>
      <c r="L50" s="22">
        <v>1</v>
      </c>
      <c r="M50" s="22">
        <v>2</v>
      </c>
      <c r="N50" s="22">
        <v>0</v>
      </c>
      <c r="O50" s="22">
        <v>1</v>
      </c>
      <c r="P50" s="22">
        <v>0</v>
      </c>
      <c r="Q50" s="22">
        <v>1</v>
      </c>
      <c r="R50" s="22">
        <v>2</v>
      </c>
      <c r="S50" s="22">
        <v>2</v>
      </c>
      <c r="T50" s="22">
        <v>2</v>
      </c>
      <c r="U50" s="22" t="s">
        <v>172</v>
      </c>
      <c r="V50" s="22" t="s">
        <v>172</v>
      </c>
      <c r="W50" s="22" t="s">
        <v>172</v>
      </c>
      <c r="X50" s="23">
        <v>1</v>
      </c>
      <c r="Y50" s="23">
        <v>1</v>
      </c>
      <c r="Z50" s="23">
        <v>0</v>
      </c>
      <c r="AA50" s="23">
        <v>1</v>
      </c>
      <c r="AB50" s="22">
        <v>2</v>
      </c>
      <c r="AC50" s="22">
        <v>0</v>
      </c>
      <c r="AD50" s="22" t="s">
        <v>172</v>
      </c>
      <c r="AE50" s="22">
        <v>2</v>
      </c>
      <c r="AF50" s="22">
        <v>2</v>
      </c>
      <c r="AG50" s="22">
        <v>0</v>
      </c>
      <c r="AH50" s="22" t="s">
        <v>172</v>
      </c>
      <c r="AI50" s="22">
        <v>2</v>
      </c>
      <c r="AJ50" s="22" t="s">
        <v>172</v>
      </c>
      <c r="AK50" s="22">
        <v>1</v>
      </c>
      <c r="AL50" s="22">
        <v>2</v>
      </c>
      <c r="AM50" s="22" t="s">
        <v>172</v>
      </c>
      <c r="AN50" s="40">
        <f t="shared" si="0"/>
        <v>26</v>
      </c>
      <c r="AO50" s="25">
        <v>1</v>
      </c>
      <c r="AP50" s="26">
        <v>1</v>
      </c>
      <c r="AQ50" s="26">
        <v>0</v>
      </c>
      <c r="AR50" s="26">
        <v>1</v>
      </c>
      <c r="AS50" s="26">
        <v>1</v>
      </c>
      <c r="AT50" s="26">
        <v>1</v>
      </c>
      <c r="AU50" s="26">
        <v>0</v>
      </c>
      <c r="AV50" s="26" t="s">
        <v>172</v>
      </c>
      <c r="AW50" s="26">
        <v>1</v>
      </c>
      <c r="AX50" s="26" t="s">
        <v>172</v>
      </c>
      <c r="AY50" s="26">
        <v>2</v>
      </c>
      <c r="AZ50" s="26">
        <v>1</v>
      </c>
      <c r="BA50" s="26">
        <v>0</v>
      </c>
      <c r="BB50" s="26">
        <v>1</v>
      </c>
      <c r="BC50" s="26">
        <v>0</v>
      </c>
      <c r="BD50" s="26">
        <v>1</v>
      </c>
      <c r="BE50" s="26">
        <v>1</v>
      </c>
      <c r="BF50" s="26">
        <v>1</v>
      </c>
      <c r="BG50" s="26">
        <v>1</v>
      </c>
      <c r="BH50" s="26">
        <v>3</v>
      </c>
      <c r="BI50" s="26" t="s">
        <v>172</v>
      </c>
      <c r="BJ50" s="26">
        <v>0</v>
      </c>
      <c r="BK50" s="26">
        <v>1</v>
      </c>
      <c r="BL50" s="26">
        <v>1</v>
      </c>
      <c r="BM50" s="26" t="s">
        <v>172</v>
      </c>
      <c r="BN50" s="26">
        <v>1</v>
      </c>
      <c r="BO50" s="26">
        <v>1</v>
      </c>
      <c r="BP50" s="26">
        <v>0</v>
      </c>
      <c r="BQ50" s="26">
        <v>3</v>
      </c>
      <c r="BR50" s="26">
        <v>1</v>
      </c>
      <c r="BS50" s="26">
        <v>2</v>
      </c>
      <c r="BT50" s="26">
        <v>2</v>
      </c>
      <c r="BU50" s="26">
        <v>2</v>
      </c>
      <c r="BV50" s="26" t="s">
        <v>172</v>
      </c>
      <c r="BW50" s="26" t="s">
        <v>172</v>
      </c>
      <c r="BX50" s="26" t="s">
        <v>172</v>
      </c>
      <c r="BY50" s="26">
        <v>2</v>
      </c>
      <c r="BZ50" s="26">
        <v>2</v>
      </c>
      <c r="CA50" s="26">
        <v>1</v>
      </c>
      <c r="CB50" s="26" t="s">
        <v>172</v>
      </c>
      <c r="CC50" s="26">
        <v>0</v>
      </c>
      <c r="CD50" s="26" t="s">
        <v>172</v>
      </c>
      <c r="CE50" s="63">
        <f t="shared" si="1"/>
        <v>36</v>
      </c>
      <c r="CF50" s="63">
        <f t="shared" si="2"/>
        <v>62</v>
      </c>
      <c r="CG50" s="64">
        <f t="shared" si="3"/>
        <v>26.571428571428569</v>
      </c>
      <c r="CH50" s="114">
        <v>22.4</v>
      </c>
      <c r="CI50" s="115">
        <f t="shared" si="4"/>
        <v>48.971428571428568</v>
      </c>
    </row>
    <row r="51" spans="1:87" ht="15.75" customHeight="1">
      <c r="A51" s="20">
        <v>29</v>
      </c>
      <c r="B51" s="117" t="s">
        <v>109</v>
      </c>
      <c r="C51" s="106" t="s">
        <v>167</v>
      </c>
      <c r="D51" s="109" t="s">
        <v>170</v>
      </c>
      <c r="E51" s="110"/>
      <c r="F51" s="21">
        <v>1</v>
      </c>
      <c r="G51" s="22">
        <v>0</v>
      </c>
      <c r="H51" s="22">
        <v>0</v>
      </c>
      <c r="I51" s="22">
        <v>1</v>
      </c>
      <c r="J51" s="22">
        <v>0</v>
      </c>
      <c r="K51" s="22">
        <v>1</v>
      </c>
      <c r="L51" s="22">
        <v>1</v>
      </c>
      <c r="M51" s="22">
        <v>0</v>
      </c>
      <c r="N51" s="22">
        <v>1</v>
      </c>
      <c r="O51" s="22">
        <v>1</v>
      </c>
      <c r="P51" s="22">
        <v>1</v>
      </c>
      <c r="Q51" s="22">
        <v>1</v>
      </c>
      <c r="R51" s="22">
        <v>1</v>
      </c>
      <c r="S51" s="22">
        <v>0</v>
      </c>
      <c r="T51" s="22">
        <v>1</v>
      </c>
      <c r="U51" s="22">
        <v>0</v>
      </c>
      <c r="V51" s="22">
        <v>0</v>
      </c>
      <c r="W51" s="22">
        <v>0</v>
      </c>
      <c r="X51" s="23">
        <v>2</v>
      </c>
      <c r="Y51" s="23">
        <v>0</v>
      </c>
      <c r="Z51" s="23">
        <v>0</v>
      </c>
      <c r="AA51" s="23">
        <v>2</v>
      </c>
      <c r="AB51" s="22">
        <v>2</v>
      </c>
      <c r="AC51" s="22">
        <v>0</v>
      </c>
      <c r="AD51" s="22">
        <v>0</v>
      </c>
      <c r="AE51" s="22">
        <v>2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40">
        <f t="shared" si="0"/>
        <v>18</v>
      </c>
      <c r="AO51" s="25">
        <v>1</v>
      </c>
      <c r="AP51" s="26">
        <v>1</v>
      </c>
      <c r="AQ51" s="26">
        <v>0</v>
      </c>
      <c r="AR51" s="26">
        <v>1</v>
      </c>
      <c r="AS51" s="26">
        <v>0</v>
      </c>
      <c r="AT51" s="26">
        <v>0</v>
      </c>
      <c r="AU51" s="26">
        <v>2</v>
      </c>
      <c r="AV51" s="26" t="s">
        <v>172</v>
      </c>
      <c r="AW51" s="26">
        <v>1</v>
      </c>
      <c r="AX51" s="26" t="s">
        <v>172</v>
      </c>
      <c r="AY51" s="26">
        <v>2</v>
      </c>
      <c r="AZ51" s="26">
        <v>1</v>
      </c>
      <c r="BA51" s="26">
        <v>1</v>
      </c>
      <c r="BB51" s="26">
        <v>0</v>
      </c>
      <c r="BC51" s="26">
        <v>0</v>
      </c>
      <c r="BD51" s="26">
        <v>1</v>
      </c>
      <c r="BE51" s="26">
        <v>1</v>
      </c>
      <c r="BF51" s="26">
        <v>0</v>
      </c>
      <c r="BG51" s="26">
        <v>1</v>
      </c>
      <c r="BH51" s="26">
        <v>3</v>
      </c>
      <c r="BI51" s="26">
        <v>0</v>
      </c>
      <c r="BJ51" s="26">
        <v>0</v>
      </c>
      <c r="BK51" s="26">
        <v>0</v>
      </c>
      <c r="BL51" s="26" t="s">
        <v>172</v>
      </c>
      <c r="BM51" s="26">
        <v>0</v>
      </c>
      <c r="BN51" s="26">
        <v>0</v>
      </c>
      <c r="BO51" s="26">
        <v>0</v>
      </c>
      <c r="BP51" s="26">
        <v>0</v>
      </c>
      <c r="BQ51" s="26">
        <v>0</v>
      </c>
      <c r="BR51" s="26">
        <v>0</v>
      </c>
      <c r="BS51" s="26">
        <v>0</v>
      </c>
      <c r="BT51" s="26">
        <v>0</v>
      </c>
      <c r="BU51" s="26">
        <v>1</v>
      </c>
      <c r="BV51" s="26">
        <v>0</v>
      </c>
      <c r="BW51" s="26">
        <v>0</v>
      </c>
      <c r="BX51" s="26">
        <v>0</v>
      </c>
      <c r="BY51" s="26">
        <v>2</v>
      </c>
      <c r="BZ51" s="26">
        <v>0</v>
      </c>
      <c r="CA51" s="26">
        <v>2</v>
      </c>
      <c r="CB51" s="26">
        <v>0</v>
      </c>
      <c r="CC51" s="26">
        <v>0</v>
      </c>
      <c r="CD51" s="26">
        <v>0</v>
      </c>
      <c r="CE51" s="63">
        <f t="shared" si="1"/>
        <v>21</v>
      </c>
      <c r="CF51" s="63">
        <f t="shared" si="2"/>
        <v>39</v>
      </c>
      <c r="CG51" s="64">
        <f t="shared" si="3"/>
        <v>16.714285714285715</v>
      </c>
      <c r="CH51" s="114">
        <v>22.4</v>
      </c>
      <c r="CI51" s="115">
        <f t="shared" si="4"/>
        <v>39.114285714285714</v>
      </c>
    </row>
    <row r="52" spans="1:87" ht="15" customHeight="1">
      <c r="A52" s="20">
        <v>30</v>
      </c>
      <c r="B52" s="117" t="s">
        <v>110</v>
      </c>
      <c r="C52" s="106" t="s">
        <v>167</v>
      </c>
      <c r="D52" s="109" t="s">
        <v>170</v>
      </c>
      <c r="E52" s="110"/>
      <c r="F52" s="21">
        <v>1</v>
      </c>
      <c r="G52" s="22">
        <v>1</v>
      </c>
      <c r="H52" s="22">
        <v>1</v>
      </c>
      <c r="I52" s="22">
        <v>1</v>
      </c>
      <c r="J52" s="22">
        <v>1</v>
      </c>
      <c r="K52" s="22">
        <v>1</v>
      </c>
      <c r="L52" s="22">
        <v>1</v>
      </c>
      <c r="M52" s="22">
        <v>1</v>
      </c>
      <c r="N52" s="22">
        <v>0</v>
      </c>
      <c r="O52" s="22">
        <v>1</v>
      </c>
      <c r="P52" s="22">
        <v>0</v>
      </c>
      <c r="Q52" s="22">
        <v>1</v>
      </c>
      <c r="R52" s="22">
        <v>2</v>
      </c>
      <c r="S52" s="22">
        <v>2</v>
      </c>
      <c r="T52" s="22">
        <v>1</v>
      </c>
      <c r="U52" s="22">
        <v>1</v>
      </c>
      <c r="V52" s="22">
        <v>1</v>
      </c>
      <c r="W52" s="22">
        <v>0</v>
      </c>
      <c r="X52" s="23">
        <v>0</v>
      </c>
      <c r="Y52" s="23">
        <v>1</v>
      </c>
      <c r="Z52" s="23">
        <v>0</v>
      </c>
      <c r="AA52" s="23">
        <v>0</v>
      </c>
      <c r="AB52" s="22">
        <v>2</v>
      </c>
      <c r="AC52" s="22">
        <v>0</v>
      </c>
      <c r="AD52" s="22">
        <v>0</v>
      </c>
      <c r="AE52" s="22">
        <v>2</v>
      </c>
      <c r="AF52" s="22">
        <v>2</v>
      </c>
      <c r="AG52" s="22">
        <v>0</v>
      </c>
      <c r="AH52" s="22">
        <v>0</v>
      </c>
      <c r="AI52" s="22">
        <v>2</v>
      </c>
      <c r="AJ52" s="22">
        <v>1</v>
      </c>
      <c r="AK52" s="22">
        <v>2</v>
      </c>
      <c r="AL52" s="22">
        <v>0</v>
      </c>
      <c r="AM52" s="22">
        <v>0</v>
      </c>
      <c r="AN52" s="40">
        <f t="shared" si="0"/>
        <v>29</v>
      </c>
      <c r="AO52" s="25">
        <v>0</v>
      </c>
      <c r="AP52" s="26">
        <v>1</v>
      </c>
      <c r="AQ52" s="26">
        <v>0</v>
      </c>
      <c r="AR52" s="26">
        <v>0</v>
      </c>
      <c r="AS52" s="26">
        <v>2</v>
      </c>
      <c r="AT52" s="26">
        <v>3</v>
      </c>
      <c r="AU52" s="26">
        <v>2</v>
      </c>
      <c r="AV52" s="26">
        <v>4</v>
      </c>
      <c r="AW52" s="26">
        <v>0</v>
      </c>
      <c r="AX52" s="26">
        <v>0</v>
      </c>
      <c r="AY52" s="26">
        <v>2</v>
      </c>
      <c r="AZ52" s="26">
        <v>1</v>
      </c>
      <c r="BA52" s="26">
        <v>1</v>
      </c>
      <c r="BB52" s="26">
        <v>2</v>
      </c>
      <c r="BC52" s="26">
        <v>2</v>
      </c>
      <c r="BD52" s="26">
        <v>1</v>
      </c>
      <c r="BE52" s="26">
        <v>1</v>
      </c>
      <c r="BF52" s="26">
        <v>1</v>
      </c>
      <c r="BG52" s="26">
        <v>1</v>
      </c>
      <c r="BH52" s="26">
        <v>3</v>
      </c>
      <c r="BI52" s="26">
        <v>2</v>
      </c>
      <c r="BJ52" s="26">
        <v>2</v>
      </c>
      <c r="BK52" s="26">
        <v>0</v>
      </c>
      <c r="BL52" s="26" t="s">
        <v>172</v>
      </c>
      <c r="BM52" s="26">
        <v>0</v>
      </c>
      <c r="BN52" s="26" t="s">
        <v>172</v>
      </c>
      <c r="BO52" s="26">
        <v>0</v>
      </c>
      <c r="BP52" s="26">
        <v>0</v>
      </c>
      <c r="BQ52" s="26">
        <v>0</v>
      </c>
      <c r="BR52" s="26">
        <v>0</v>
      </c>
      <c r="BS52" s="26">
        <v>2</v>
      </c>
      <c r="BT52" s="26">
        <v>3</v>
      </c>
      <c r="BU52" s="26">
        <v>2</v>
      </c>
      <c r="BV52" s="26">
        <v>1</v>
      </c>
      <c r="BW52" s="26">
        <v>2</v>
      </c>
      <c r="BX52" s="26">
        <v>0</v>
      </c>
      <c r="BY52" s="26">
        <v>0</v>
      </c>
      <c r="BZ52" s="26">
        <v>0</v>
      </c>
      <c r="CA52" s="26">
        <v>1</v>
      </c>
      <c r="CB52" s="26">
        <v>0</v>
      </c>
      <c r="CC52" s="26">
        <v>0</v>
      </c>
      <c r="CD52" s="26">
        <v>0</v>
      </c>
      <c r="CE52" s="63">
        <f t="shared" si="1"/>
        <v>42</v>
      </c>
      <c r="CF52" s="63">
        <f t="shared" si="2"/>
        <v>71</v>
      </c>
      <c r="CG52" s="64">
        <f t="shared" si="3"/>
        <v>30.428571428571427</v>
      </c>
      <c r="CH52" s="114">
        <v>22.8</v>
      </c>
      <c r="CI52" s="115">
        <f t="shared" si="4"/>
        <v>53.228571428571428</v>
      </c>
    </row>
    <row r="53" spans="1:87" ht="15" customHeight="1">
      <c r="A53" s="20">
        <v>31</v>
      </c>
      <c r="B53" s="117" t="s">
        <v>111</v>
      </c>
      <c r="C53" s="106" t="s">
        <v>167</v>
      </c>
      <c r="D53" s="109" t="s">
        <v>170</v>
      </c>
      <c r="E53" s="110"/>
      <c r="F53" s="21">
        <v>1</v>
      </c>
      <c r="G53" s="22">
        <v>0</v>
      </c>
      <c r="H53" s="22">
        <v>0</v>
      </c>
      <c r="I53" s="22">
        <v>0</v>
      </c>
      <c r="J53" s="22">
        <v>1</v>
      </c>
      <c r="K53" s="22">
        <v>0</v>
      </c>
      <c r="L53" s="22">
        <v>1</v>
      </c>
      <c r="M53" s="22">
        <v>0</v>
      </c>
      <c r="N53" s="22">
        <v>1</v>
      </c>
      <c r="O53" s="22">
        <v>1</v>
      </c>
      <c r="P53" s="22">
        <v>1</v>
      </c>
      <c r="Q53" s="22">
        <v>1</v>
      </c>
      <c r="R53" s="22">
        <v>0</v>
      </c>
      <c r="S53" s="22">
        <v>0</v>
      </c>
      <c r="T53" s="22">
        <v>2</v>
      </c>
      <c r="U53" s="22">
        <v>0</v>
      </c>
      <c r="V53" s="22">
        <v>0</v>
      </c>
      <c r="W53" s="22">
        <v>0</v>
      </c>
      <c r="X53" s="23">
        <v>2</v>
      </c>
      <c r="Y53" s="23">
        <v>1</v>
      </c>
      <c r="Z53" s="23">
        <v>1</v>
      </c>
      <c r="AA53" s="23">
        <v>2</v>
      </c>
      <c r="AB53" s="22">
        <v>2</v>
      </c>
      <c r="AC53" s="22">
        <v>0</v>
      </c>
      <c r="AD53" s="22">
        <v>0</v>
      </c>
      <c r="AE53" s="22">
        <v>0</v>
      </c>
      <c r="AF53" s="22">
        <v>1</v>
      </c>
      <c r="AG53" s="22">
        <v>0</v>
      </c>
      <c r="AH53" s="22">
        <v>0</v>
      </c>
      <c r="AI53" s="22">
        <v>2</v>
      </c>
      <c r="AJ53" s="22">
        <v>1</v>
      </c>
      <c r="AK53" s="22">
        <v>2</v>
      </c>
      <c r="AL53" s="22">
        <v>0</v>
      </c>
      <c r="AM53" s="22">
        <v>0</v>
      </c>
      <c r="AN53" s="40">
        <f t="shared" si="0"/>
        <v>23</v>
      </c>
      <c r="AO53" s="25">
        <v>1</v>
      </c>
      <c r="AP53" s="26">
        <v>1</v>
      </c>
      <c r="AQ53" s="26">
        <v>0</v>
      </c>
      <c r="AR53" s="26">
        <v>1</v>
      </c>
      <c r="AS53" s="26">
        <v>1</v>
      </c>
      <c r="AT53" s="26">
        <v>1</v>
      </c>
      <c r="AU53" s="26">
        <v>1</v>
      </c>
      <c r="AV53" s="26">
        <v>0</v>
      </c>
      <c r="AW53" s="26">
        <v>0</v>
      </c>
      <c r="AX53" s="26">
        <v>0</v>
      </c>
      <c r="AY53" s="26">
        <v>2</v>
      </c>
      <c r="AZ53" s="26">
        <v>1</v>
      </c>
      <c r="BA53" s="26">
        <v>0</v>
      </c>
      <c r="BB53" s="26">
        <v>2</v>
      </c>
      <c r="BC53" s="26">
        <v>2</v>
      </c>
      <c r="BD53" s="26">
        <v>1</v>
      </c>
      <c r="BE53" s="26">
        <v>0</v>
      </c>
      <c r="BF53" s="26">
        <v>0</v>
      </c>
      <c r="BG53" s="26">
        <v>1</v>
      </c>
      <c r="BH53" s="26">
        <v>3</v>
      </c>
      <c r="BI53" s="26">
        <v>0</v>
      </c>
      <c r="BJ53" s="26">
        <v>0</v>
      </c>
      <c r="BK53" s="26" t="s">
        <v>172</v>
      </c>
      <c r="BL53" s="26">
        <v>1</v>
      </c>
      <c r="BM53" s="26">
        <v>0</v>
      </c>
      <c r="BN53" s="26">
        <v>1</v>
      </c>
      <c r="BO53" s="26">
        <v>1</v>
      </c>
      <c r="BP53" s="26">
        <v>0</v>
      </c>
      <c r="BQ53" s="26">
        <v>0</v>
      </c>
      <c r="BR53" s="26">
        <v>0</v>
      </c>
      <c r="BS53" s="26">
        <v>2</v>
      </c>
      <c r="BT53" s="26">
        <v>3</v>
      </c>
      <c r="BU53" s="26">
        <v>2</v>
      </c>
      <c r="BV53" s="26">
        <v>0</v>
      </c>
      <c r="BW53" s="26">
        <v>0</v>
      </c>
      <c r="BX53" s="26">
        <v>0</v>
      </c>
      <c r="BY53" s="26">
        <v>2</v>
      </c>
      <c r="BZ53" s="26">
        <v>2</v>
      </c>
      <c r="CA53" s="26">
        <v>1</v>
      </c>
      <c r="CB53" s="26">
        <v>0</v>
      </c>
      <c r="CC53" s="26">
        <v>0</v>
      </c>
      <c r="CD53" s="26">
        <v>0</v>
      </c>
      <c r="CE53" s="63">
        <f t="shared" si="1"/>
        <v>33</v>
      </c>
      <c r="CF53" s="63">
        <f t="shared" si="2"/>
        <v>56</v>
      </c>
      <c r="CG53" s="64">
        <f t="shared" si="3"/>
        <v>24</v>
      </c>
      <c r="CH53" s="114">
        <v>20.399999999999999</v>
      </c>
      <c r="CI53" s="115">
        <f t="shared" si="4"/>
        <v>44.4</v>
      </c>
    </row>
    <row r="54" spans="1:87" ht="15" customHeight="1">
      <c r="A54" s="20">
        <v>32</v>
      </c>
      <c r="B54" s="117" t="s">
        <v>112</v>
      </c>
      <c r="C54" s="106" t="s">
        <v>167</v>
      </c>
      <c r="D54" s="109" t="s">
        <v>170</v>
      </c>
      <c r="E54" s="110"/>
      <c r="F54" s="21">
        <v>0</v>
      </c>
      <c r="G54" s="22">
        <v>0</v>
      </c>
      <c r="H54" s="22">
        <v>0</v>
      </c>
      <c r="I54" s="22">
        <v>1</v>
      </c>
      <c r="J54" s="22">
        <v>1</v>
      </c>
      <c r="K54" s="22">
        <v>1</v>
      </c>
      <c r="L54" s="22" t="s">
        <v>172</v>
      </c>
      <c r="M54" s="22">
        <v>1</v>
      </c>
      <c r="N54" s="22">
        <v>0</v>
      </c>
      <c r="O54" s="22">
        <v>0</v>
      </c>
      <c r="P54" s="22">
        <v>0</v>
      </c>
      <c r="Q54" s="22">
        <v>1</v>
      </c>
      <c r="R54" s="22">
        <v>2</v>
      </c>
      <c r="S54" s="22">
        <v>2</v>
      </c>
      <c r="T54" s="22">
        <v>3</v>
      </c>
      <c r="U54" s="22" t="s">
        <v>172</v>
      </c>
      <c r="V54" s="22">
        <v>0</v>
      </c>
      <c r="W54" s="22">
        <v>0</v>
      </c>
      <c r="X54" s="23">
        <v>2</v>
      </c>
      <c r="Y54" s="23">
        <v>0</v>
      </c>
      <c r="Z54" s="23">
        <v>0</v>
      </c>
      <c r="AA54" s="23">
        <v>0</v>
      </c>
      <c r="AB54" s="22">
        <v>1</v>
      </c>
      <c r="AC54" s="22">
        <v>0</v>
      </c>
      <c r="AD54" s="22">
        <v>0</v>
      </c>
      <c r="AE54" s="22">
        <v>0</v>
      </c>
      <c r="AF54" s="22">
        <v>1</v>
      </c>
      <c r="AG54" s="22" t="s">
        <v>172</v>
      </c>
      <c r="AH54" s="22" t="s">
        <v>172</v>
      </c>
      <c r="AI54" s="22">
        <v>2</v>
      </c>
      <c r="AJ54" s="22">
        <v>1</v>
      </c>
      <c r="AK54" s="22">
        <v>2</v>
      </c>
      <c r="AL54" s="22" t="s">
        <v>172</v>
      </c>
      <c r="AM54" s="22" t="s">
        <v>172</v>
      </c>
      <c r="AN54" s="40">
        <f t="shared" si="0"/>
        <v>21</v>
      </c>
      <c r="AO54" s="25">
        <v>2</v>
      </c>
      <c r="AP54" s="26">
        <v>1</v>
      </c>
      <c r="AQ54" s="26">
        <v>1</v>
      </c>
      <c r="AR54" s="26">
        <v>1</v>
      </c>
      <c r="AS54" s="26">
        <v>1</v>
      </c>
      <c r="AT54" s="26">
        <v>1</v>
      </c>
      <c r="AU54" s="26">
        <v>2</v>
      </c>
      <c r="AV54" s="26">
        <v>1</v>
      </c>
      <c r="AW54" s="26">
        <v>0</v>
      </c>
      <c r="AX54" s="26">
        <v>0</v>
      </c>
      <c r="AY54" s="26">
        <v>2</v>
      </c>
      <c r="AZ54" s="26">
        <v>1</v>
      </c>
      <c r="BA54" s="26">
        <v>0</v>
      </c>
      <c r="BB54" s="26">
        <v>2</v>
      </c>
      <c r="BC54" s="26">
        <v>2</v>
      </c>
      <c r="BD54" s="26">
        <v>1</v>
      </c>
      <c r="BE54" s="26">
        <v>1</v>
      </c>
      <c r="BF54" s="26">
        <v>0</v>
      </c>
      <c r="BG54" s="26">
        <v>1</v>
      </c>
      <c r="BH54" s="26">
        <v>3</v>
      </c>
      <c r="BI54" s="26">
        <v>0</v>
      </c>
      <c r="BJ54" s="26">
        <v>0</v>
      </c>
      <c r="BK54" s="26">
        <v>0</v>
      </c>
      <c r="BL54" s="26">
        <v>1</v>
      </c>
      <c r="BM54" s="26">
        <v>0</v>
      </c>
      <c r="BN54" s="26">
        <v>1</v>
      </c>
      <c r="BO54" s="26">
        <v>1</v>
      </c>
      <c r="BP54" s="26">
        <v>1</v>
      </c>
      <c r="BQ54" s="26">
        <v>3</v>
      </c>
      <c r="BR54" s="26">
        <v>0</v>
      </c>
      <c r="BS54" s="26">
        <v>2</v>
      </c>
      <c r="BT54" s="26">
        <v>3</v>
      </c>
      <c r="BU54" s="26">
        <v>2</v>
      </c>
      <c r="BV54" s="26">
        <v>0</v>
      </c>
      <c r="BW54" s="26">
        <v>0</v>
      </c>
      <c r="BX54" s="26">
        <v>0</v>
      </c>
      <c r="BY54" s="26">
        <v>2</v>
      </c>
      <c r="BZ54" s="26">
        <v>0</v>
      </c>
      <c r="CA54" s="26">
        <v>2</v>
      </c>
      <c r="CB54" s="26" t="s">
        <v>172</v>
      </c>
      <c r="CC54" s="26">
        <v>0</v>
      </c>
      <c r="CD54" s="26" t="s">
        <v>172</v>
      </c>
      <c r="CE54" s="63">
        <f t="shared" si="1"/>
        <v>41</v>
      </c>
      <c r="CF54" s="63">
        <f t="shared" si="2"/>
        <v>62</v>
      </c>
      <c r="CG54" s="64">
        <f t="shared" si="3"/>
        <v>26.571428571428569</v>
      </c>
      <c r="CH54" s="114">
        <v>22.2</v>
      </c>
      <c r="CI54" s="115">
        <f t="shared" si="4"/>
        <v>48.771428571428572</v>
      </c>
    </row>
    <row r="55" spans="1:87" ht="15" customHeight="1">
      <c r="A55" s="20">
        <v>33</v>
      </c>
      <c r="B55" s="117" t="s">
        <v>113</v>
      </c>
      <c r="C55" s="106" t="s">
        <v>167</v>
      </c>
      <c r="D55" s="109" t="s">
        <v>170</v>
      </c>
      <c r="E55" s="110"/>
      <c r="F55" s="21">
        <v>0</v>
      </c>
      <c r="G55" s="22">
        <v>0</v>
      </c>
      <c r="H55" s="22">
        <v>0</v>
      </c>
      <c r="I55" s="22">
        <v>1</v>
      </c>
      <c r="J55" s="22">
        <v>1</v>
      </c>
      <c r="K55" s="22">
        <v>1</v>
      </c>
      <c r="L55" s="22">
        <v>0</v>
      </c>
      <c r="M55" s="22">
        <v>1</v>
      </c>
      <c r="N55" s="22">
        <v>1</v>
      </c>
      <c r="O55" s="22">
        <v>0</v>
      </c>
      <c r="P55" s="22">
        <v>0</v>
      </c>
      <c r="Q55" s="22">
        <v>1</v>
      </c>
      <c r="R55" s="22">
        <v>1</v>
      </c>
      <c r="S55" s="22">
        <v>1</v>
      </c>
      <c r="T55" s="22">
        <v>1</v>
      </c>
      <c r="U55" s="22">
        <v>0</v>
      </c>
      <c r="V55" s="22">
        <v>1</v>
      </c>
      <c r="W55" s="22">
        <v>0</v>
      </c>
      <c r="X55" s="23">
        <v>2</v>
      </c>
      <c r="Y55" s="23">
        <v>1</v>
      </c>
      <c r="Z55" s="23">
        <v>1</v>
      </c>
      <c r="AA55" s="23">
        <v>0</v>
      </c>
      <c r="AB55" s="22">
        <v>2</v>
      </c>
      <c r="AC55" s="22">
        <v>0</v>
      </c>
      <c r="AD55" s="22">
        <v>2</v>
      </c>
      <c r="AE55" s="22">
        <v>2</v>
      </c>
      <c r="AF55" s="22">
        <v>0</v>
      </c>
      <c r="AG55" s="22">
        <v>0</v>
      </c>
      <c r="AH55" s="22">
        <v>0</v>
      </c>
      <c r="AI55" s="22">
        <v>2</v>
      </c>
      <c r="AJ55" s="22">
        <v>3</v>
      </c>
      <c r="AK55" s="22">
        <v>1</v>
      </c>
      <c r="AL55" s="22">
        <v>0</v>
      </c>
      <c r="AM55" s="22">
        <v>0</v>
      </c>
      <c r="AN55" s="40">
        <f t="shared" si="0"/>
        <v>26</v>
      </c>
      <c r="AO55" s="25">
        <v>2</v>
      </c>
      <c r="AP55" s="26">
        <v>1</v>
      </c>
      <c r="AQ55" s="26">
        <v>0</v>
      </c>
      <c r="AR55" s="26">
        <v>0</v>
      </c>
      <c r="AS55" s="26">
        <v>0</v>
      </c>
      <c r="AT55" s="26">
        <v>1</v>
      </c>
      <c r="AU55" s="26">
        <v>0</v>
      </c>
      <c r="AV55" s="26">
        <v>1</v>
      </c>
      <c r="AW55" s="26">
        <v>0</v>
      </c>
      <c r="AX55" s="26">
        <v>0</v>
      </c>
      <c r="AY55" s="26">
        <v>2</v>
      </c>
      <c r="AZ55" s="26">
        <v>1</v>
      </c>
      <c r="BA55" s="26">
        <v>1</v>
      </c>
      <c r="BB55" s="26">
        <v>2</v>
      </c>
      <c r="BC55" s="26">
        <v>2</v>
      </c>
      <c r="BD55" s="26">
        <v>1</v>
      </c>
      <c r="BE55" s="26">
        <v>1</v>
      </c>
      <c r="BF55" s="26">
        <v>1</v>
      </c>
      <c r="BG55" s="26">
        <v>1</v>
      </c>
      <c r="BH55" s="26">
        <v>3</v>
      </c>
      <c r="BI55" s="26" t="s">
        <v>172</v>
      </c>
      <c r="BJ55" s="26">
        <v>2</v>
      </c>
      <c r="BK55" s="26">
        <v>0</v>
      </c>
      <c r="BL55" s="26">
        <v>1</v>
      </c>
      <c r="BM55" s="26" t="s">
        <v>172</v>
      </c>
      <c r="BN55" s="26">
        <v>1</v>
      </c>
      <c r="BO55" s="26">
        <v>1</v>
      </c>
      <c r="BP55" s="26" t="s">
        <v>172</v>
      </c>
      <c r="BQ55" s="26" t="s">
        <v>172</v>
      </c>
      <c r="BR55" s="26" t="s">
        <v>172</v>
      </c>
      <c r="BS55" s="26">
        <v>0</v>
      </c>
      <c r="BT55" s="26">
        <v>0</v>
      </c>
      <c r="BU55" s="26">
        <v>2</v>
      </c>
      <c r="BV55" s="26" t="s">
        <v>172</v>
      </c>
      <c r="BW55" s="26">
        <v>0</v>
      </c>
      <c r="BX55" s="26">
        <v>0</v>
      </c>
      <c r="BY55" s="26">
        <v>0</v>
      </c>
      <c r="BZ55" s="26">
        <v>0</v>
      </c>
      <c r="CA55" s="26">
        <v>2</v>
      </c>
      <c r="CB55" s="26" t="s">
        <v>172</v>
      </c>
      <c r="CC55" s="26">
        <v>0</v>
      </c>
      <c r="CD55" s="26" t="s">
        <v>172</v>
      </c>
      <c r="CE55" s="63">
        <f t="shared" si="1"/>
        <v>29</v>
      </c>
      <c r="CF55" s="63">
        <f t="shared" si="2"/>
        <v>55</v>
      </c>
      <c r="CG55" s="64">
        <f t="shared" si="3"/>
        <v>23.571428571428569</v>
      </c>
      <c r="CH55" s="114">
        <v>22.2</v>
      </c>
      <c r="CI55" s="115">
        <f t="shared" si="4"/>
        <v>45.771428571428572</v>
      </c>
    </row>
    <row r="56" spans="1:87" ht="15.75" customHeight="1">
      <c r="A56" s="20">
        <v>34</v>
      </c>
      <c r="B56" s="117" t="s">
        <v>114</v>
      </c>
      <c r="C56" s="106" t="s">
        <v>167</v>
      </c>
      <c r="D56" s="109" t="s">
        <v>170</v>
      </c>
      <c r="E56" s="110"/>
      <c r="F56" s="21">
        <v>1</v>
      </c>
      <c r="G56" s="22">
        <v>1</v>
      </c>
      <c r="H56" s="22">
        <v>1</v>
      </c>
      <c r="I56" s="22">
        <v>1</v>
      </c>
      <c r="J56" s="22">
        <v>1</v>
      </c>
      <c r="K56" s="22">
        <v>1</v>
      </c>
      <c r="L56" s="22">
        <v>1</v>
      </c>
      <c r="M56" s="22">
        <v>1</v>
      </c>
      <c r="N56" s="22">
        <v>0</v>
      </c>
      <c r="O56" s="22">
        <v>1</v>
      </c>
      <c r="P56" s="22">
        <v>1</v>
      </c>
      <c r="Q56" s="22">
        <v>1</v>
      </c>
      <c r="R56" s="22">
        <v>1</v>
      </c>
      <c r="S56" s="22">
        <v>1</v>
      </c>
      <c r="T56" s="22">
        <v>1</v>
      </c>
      <c r="U56" s="22">
        <v>2</v>
      </c>
      <c r="V56" s="22">
        <v>1</v>
      </c>
      <c r="W56" s="22">
        <v>0</v>
      </c>
      <c r="X56" s="23">
        <v>2</v>
      </c>
      <c r="Y56" s="23">
        <v>1</v>
      </c>
      <c r="Z56" s="23">
        <v>1</v>
      </c>
      <c r="AA56" s="23">
        <v>2</v>
      </c>
      <c r="AB56" s="22">
        <v>2</v>
      </c>
      <c r="AC56" s="22">
        <v>0</v>
      </c>
      <c r="AD56" s="22">
        <v>1</v>
      </c>
      <c r="AE56" s="22">
        <v>2</v>
      </c>
      <c r="AF56" s="22">
        <v>0</v>
      </c>
      <c r="AG56" s="22">
        <v>0</v>
      </c>
      <c r="AH56" s="22">
        <v>2</v>
      </c>
      <c r="AI56" s="22">
        <v>2</v>
      </c>
      <c r="AJ56" s="22">
        <v>3</v>
      </c>
      <c r="AK56" s="22">
        <v>2</v>
      </c>
      <c r="AL56" s="22">
        <v>2</v>
      </c>
      <c r="AM56" s="22">
        <v>2</v>
      </c>
      <c r="AN56" s="40">
        <f t="shared" si="0"/>
        <v>41</v>
      </c>
      <c r="AO56" s="25">
        <v>1</v>
      </c>
      <c r="AP56" s="26">
        <v>1</v>
      </c>
      <c r="AQ56" s="26">
        <v>0</v>
      </c>
      <c r="AR56" s="26">
        <v>0</v>
      </c>
      <c r="AS56" s="26">
        <v>1</v>
      </c>
      <c r="AT56" s="26">
        <v>3</v>
      </c>
      <c r="AU56" s="26">
        <v>2</v>
      </c>
      <c r="AV56" s="26">
        <v>4</v>
      </c>
      <c r="AW56" s="26">
        <v>1</v>
      </c>
      <c r="AX56" s="26">
        <v>1</v>
      </c>
      <c r="AY56" s="26">
        <v>2</v>
      </c>
      <c r="AZ56" s="26">
        <v>0</v>
      </c>
      <c r="BA56" s="26">
        <v>3</v>
      </c>
      <c r="BB56" s="26">
        <v>2</v>
      </c>
      <c r="BC56" s="26">
        <v>2</v>
      </c>
      <c r="BD56" s="26">
        <v>1</v>
      </c>
      <c r="BE56" s="26">
        <v>1</v>
      </c>
      <c r="BF56" s="26">
        <v>1</v>
      </c>
      <c r="BG56" s="26">
        <v>1</v>
      </c>
      <c r="BH56" s="26">
        <v>0</v>
      </c>
      <c r="BI56" s="26">
        <v>2</v>
      </c>
      <c r="BJ56" s="26">
        <v>2</v>
      </c>
      <c r="BK56" s="26">
        <v>0</v>
      </c>
      <c r="BL56" s="26" t="s">
        <v>172</v>
      </c>
      <c r="BM56" s="26">
        <v>1</v>
      </c>
      <c r="BN56" s="26">
        <v>1</v>
      </c>
      <c r="BO56" s="26">
        <v>1</v>
      </c>
      <c r="BP56" s="26">
        <v>1</v>
      </c>
      <c r="BQ56" s="26">
        <v>2</v>
      </c>
      <c r="BR56" s="26">
        <v>1</v>
      </c>
      <c r="BS56" s="26">
        <v>2</v>
      </c>
      <c r="BT56" s="26">
        <v>3</v>
      </c>
      <c r="BU56" s="26">
        <v>2</v>
      </c>
      <c r="BV56" s="26">
        <v>0</v>
      </c>
      <c r="BW56" s="26">
        <v>0</v>
      </c>
      <c r="BX56" s="26">
        <v>0</v>
      </c>
      <c r="BY56" s="26">
        <v>2</v>
      </c>
      <c r="BZ56" s="26">
        <v>0</v>
      </c>
      <c r="CA56" s="26">
        <v>2</v>
      </c>
      <c r="CB56" s="26">
        <v>0</v>
      </c>
      <c r="CC56" s="26">
        <v>2</v>
      </c>
      <c r="CD56" s="26">
        <v>0</v>
      </c>
      <c r="CE56" s="63">
        <f t="shared" si="1"/>
        <v>51</v>
      </c>
      <c r="CF56" s="63">
        <f t="shared" si="2"/>
        <v>92</v>
      </c>
      <c r="CG56" s="64">
        <f t="shared" si="3"/>
        <v>39.428571428571431</v>
      </c>
      <c r="CH56" s="114">
        <v>21.2</v>
      </c>
      <c r="CI56" s="115">
        <f t="shared" si="4"/>
        <v>60.628571428571433</v>
      </c>
    </row>
    <row r="57" spans="1:87" ht="15" customHeight="1">
      <c r="A57" s="20">
        <v>35</v>
      </c>
      <c r="B57" s="117" t="s">
        <v>115</v>
      </c>
      <c r="C57" s="106" t="s">
        <v>167</v>
      </c>
      <c r="D57" s="109" t="s">
        <v>171</v>
      </c>
      <c r="E57" s="110"/>
      <c r="F57" s="21">
        <v>0</v>
      </c>
      <c r="G57" s="22">
        <v>1</v>
      </c>
      <c r="H57" s="22">
        <v>1</v>
      </c>
      <c r="I57" s="22">
        <v>1</v>
      </c>
      <c r="J57" s="22">
        <v>0</v>
      </c>
      <c r="K57" s="22">
        <v>1</v>
      </c>
      <c r="L57" s="22">
        <v>2</v>
      </c>
      <c r="M57" s="22">
        <v>2</v>
      </c>
      <c r="N57" s="22">
        <v>1</v>
      </c>
      <c r="O57" s="22">
        <v>1</v>
      </c>
      <c r="P57" s="22">
        <v>1</v>
      </c>
      <c r="Q57" s="22">
        <v>1</v>
      </c>
      <c r="R57" s="22">
        <v>1</v>
      </c>
      <c r="S57" s="22">
        <v>1</v>
      </c>
      <c r="T57" s="22">
        <v>3</v>
      </c>
      <c r="U57" s="22">
        <v>1</v>
      </c>
      <c r="V57" s="22">
        <v>0</v>
      </c>
      <c r="W57" s="22">
        <v>0</v>
      </c>
      <c r="X57" s="23">
        <v>0</v>
      </c>
      <c r="Y57" s="23">
        <v>1</v>
      </c>
      <c r="Z57" s="23">
        <v>1</v>
      </c>
      <c r="AA57" s="23">
        <v>2</v>
      </c>
      <c r="AB57" s="22">
        <v>2</v>
      </c>
      <c r="AC57" s="22">
        <v>0</v>
      </c>
      <c r="AD57" s="22">
        <v>2</v>
      </c>
      <c r="AE57" s="22">
        <v>2</v>
      </c>
      <c r="AF57" s="22">
        <v>1</v>
      </c>
      <c r="AG57" s="22">
        <v>0</v>
      </c>
      <c r="AH57" s="22">
        <v>0</v>
      </c>
      <c r="AI57" s="22">
        <v>2</v>
      </c>
      <c r="AJ57" s="22">
        <v>2</v>
      </c>
      <c r="AK57" s="22">
        <v>2</v>
      </c>
      <c r="AL57" s="22">
        <v>2</v>
      </c>
      <c r="AM57" s="22">
        <v>0</v>
      </c>
      <c r="AN57" s="40">
        <f t="shared" si="0"/>
        <v>37</v>
      </c>
      <c r="AO57" s="25">
        <v>2</v>
      </c>
      <c r="AP57" s="26">
        <v>1</v>
      </c>
      <c r="AQ57" s="26">
        <v>2</v>
      </c>
      <c r="AR57" s="26">
        <v>1</v>
      </c>
      <c r="AS57" s="26">
        <v>1</v>
      </c>
      <c r="AT57" s="26">
        <v>1</v>
      </c>
      <c r="AU57" s="26">
        <v>1</v>
      </c>
      <c r="AV57" s="26">
        <v>4</v>
      </c>
      <c r="AW57" s="26">
        <v>1</v>
      </c>
      <c r="AX57" s="26">
        <v>0</v>
      </c>
      <c r="AY57" s="26">
        <v>2</v>
      </c>
      <c r="AZ57" s="26">
        <v>1</v>
      </c>
      <c r="BA57" s="26">
        <v>2</v>
      </c>
      <c r="BB57" s="26">
        <v>2</v>
      </c>
      <c r="BC57" s="26">
        <v>2</v>
      </c>
      <c r="BD57" s="26">
        <v>1</v>
      </c>
      <c r="BE57" s="26">
        <v>1</v>
      </c>
      <c r="BF57" s="26">
        <v>1</v>
      </c>
      <c r="BG57" s="26">
        <v>1</v>
      </c>
      <c r="BH57" s="26">
        <v>0</v>
      </c>
      <c r="BI57" s="26">
        <v>0</v>
      </c>
      <c r="BJ57" s="26">
        <v>2</v>
      </c>
      <c r="BK57" s="26">
        <v>0</v>
      </c>
      <c r="BL57" s="26">
        <v>2</v>
      </c>
      <c r="BM57" s="26">
        <v>1</v>
      </c>
      <c r="BN57" s="26">
        <v>1</v>
      </c>
      <c r="BO57" s="26">
        <v>1</v>
      </c>
      <c r="BP57" s="26">
        <v>1</v>
      </c>
      <c r="BQ57" s="26">
        <v>3</v>
      </c>
      <c r="BR57" s="26">
        <v>0</v>
      </c>
      <c r="BS57" s="26">
        <v>2</v>
      </c>
      <c r="BT57" s="26">
        <v>3</v>
      </c>
      <c r="BU57" s="26">
        <v>2</v>
      </c>
      <c r="BV57" s="26">
        <v>1</v>
      </c>
      <c r="BW57" s="26">
        <v>0</v>
      </c>
      <c r="BX57" s="26">
        <v>0</v>
      </c>
      <c r="BY57" s="26">
        <v>2</v>
      </c>
      <c r="BZ57" s="26">
        <v>2</v>
      </c>
      <c r="CA57" s="26">
        <v>1</v>
      </c>
      <c r="CB57" s="26">
        <v>0</v>
      </c>
      <c r="CC57" s="26">
        <v>0</v>
      </c>
      <c r="CD57" s="26">
        <v>0</v>
      </c>
      <c r="CE57" s="63">
        <f t="shared" si="1"/>
        <v>51</v>
      </c>
      <c r="CF57" s="63">
        <f t="shared" si="2"/>
        <v>88</v>
      </c>
      <c r="CG57" s="64">
        <f t="shared" si="3"/>
        <v>37.714285714285715</v>
      </c>
      <c r="CH57" s="114">
        <v>20</v>
      </c>
      <c r="CI57" s="115">
        <f t="shared" si="4"/>
        <v>57.714285714285715</v>
      </c>
    </row>
    <row r="58" spans="1:87" ht="15" customHeight="1">
      <c r="A58" s="20">
        <v>36</v>
      </c>
      <c r="B58" s="117" t="s">
        <v>116</v>
      </c>
      <c r="C58" s="106" t="s">
        <v>167</v>
      </c>
      <c r="D58" s="109" t="s">
        <v>171</v>
      </c>
      <c r="E58" s="110"/>
      <c r="F58" s="21">
        <v>1</v>
      </c>
      <c r="G58" s="22">
        <v>0</v>
      </c>
      <c r="H58" s="22">
        <v>0</v>
      </c>
      <c r="I58" s="22">
        <v>0</v>
      </c>
      <c r="J58" s="22">
        <v>1</v>
      </c>
      <c r="K58" s="22">
        <v>0</v>
      </c>
      <c r="L58" s="22">
        <v>1</v>
      </c>
      <c r="M58" s="22">
        <v>1</v>
      </c>
      <c r="N58" s="22">
        <v>1</v>
      </c>
      <c r="O58" s="22">
        <v>0</v>
      </c>
      <c r="P58" s="22">
        <v>1</v>
      </c>
      <c r="Q58" s="22">
        <v>1</v>
      </c>
      <c r="R58" s="22">
        <v>0</v>
      </c>
      <c r="S58" s="22">
        <v>1</v>
      </c>
      <c r="T58" s="22">
        <v>2</v>
      </c>
      <c r="U58" s="22">
        <v>1</v>
      </c>
      <c r="V58" s="22">
        <v>0</v>
      </c>
      <c r="W58" s="22">
        <v>0</v>
      </c>
      <c r="X58" s="23">
        <v>2</v>
      </c>
      <c r="Y58" s="23">
        <v>0</v>
      </c>
      <c r="Z58" s="23">
        <v>0</v>
      </c>
      <c r="AA58" s="23">
        <v>0</v>
      </c>
      <c r="AB58" s="22">
        <v>0</v>
      </c>
      <c r="AC58" s="22">
        <v>0</v>
      </c>
      <c r="AD58" s="22">
        <v>2</v>
      </c>
      <c r="AE58" s="22">
        <v>2</v>
      </c>
      <c r="AF58" s="22">
        <v>1</v>
      </c>
      <c r="AG58" s="22">
        <v>0</v>
      </c>
      <c r="AH58" s="22">
        <v>0</v>
      </c>
      <c r="AI58" s="22">
        <v>0</v>
      </c>
      <c r="AJ58" s="22">
        <v>2</v>
      </c>
      <c r="AK58" s="22">
        <v>1</v>
      </c>
      <c r="AL58" s="22">
        <v>0</v>
      </c>
      <c r="AM58" s="22">
        <v>0</v>
      </c>
      <c r="AN58" s="40">
        <f t="shared" si="0"/>
        <v>21</v>
      </c>
      <c r="AO58" s="25">
        <v>0</v>
      </c>
      <c r="AP58" s="26">
        <v>1</v>
      </c>
      <c r="AQ58" s="26">
        <v>0</v>
      </c>
      <c r="AR58" s="26">
        <v>1</v>
      </c>
      <c r="AS58" s="26">
        <v>2</v>
      </c>
      <c r="AT58" s="26">
        <v>2</v>
      </c>
      <c r="AU58" s="26">
        <v>1</v>
      </c>
      <c r="AV58" s="26">
        <v>1</v>
      </c>
      <c r="AW58" s="26">
        <v>1</v>
      </c>
      <c r="AX58" s="26">
        <v>0</v>
      </c>
      <c r="AY58" s="26">
        <v>2</v>
      </c>
      <c r="AZ58" s="26">
        <v>1</v>
      </c>
      <c r="BA58" s="26">
        <v>1</v>
      </c>
      <c r="BB58" s="26">
        <v>2</v>
      </c>
      <c r="BC58" s="26">
        <v>2</v>
      </c>
      <c r="BD58" s="26">
        <v>0</v>
      </c>
      <c r="BE58" s="26">
        <v>0</v>
      </c>
      <c r="BF58" s="26">
        <v>0</v>
      </c>
      <c r="BG58" s="26">
        <v>1</v>
      </c>
      <c r="BH58" s="26">
        <v>0</v>
      </c>
      <c r="BI58" s="26">
        <v>0</v>
      </c>
      <c r="BJ58" s="26">
        <v>0</v>
      </c>
      <c r="BK58" s="26">
        <v>0</v>
      </c>
      <c r="BL58" s="26" t="s">
        <v>172</v>
      </c>
      <c r="BM58" s="26">
        <v>1</v>
      </c>
      <c r="BN58" s="26">
        <v>1</v>
      </c>
      <c r="BO58" s="26">
        <v>0</v>
      </c>
      <c r="BP58" s="26">
        <v>0</v>
      </c>
      <c r="BQ58" s="26">
        <v>2</v>
      </c>
      <c r="BR58" s="26">
        <v>0</v>
      </c>
      <c r="BS58" s="26">
        <v>2</v>
      </c>
      <c r="BT58" s="26">
        <v>3</v>
      </c>
      <c r="BU58" s="26">
        <v>2</v>
      </c>
      <c r="BV58" s="26">
        <v>0</v>
      </c>
      <c r="BW58" s="26">
        <v>2</v>
      </c>
      <c r="BX58" s="26">
        <v>0</v>
      </c>
      <c r="BY58" s="26">
        <v>2</v>
      </c>
      <c r="BZ58" s="26">
        <v>0</v>
      </c>
      <c r="CA58" s="26">
        <v>2</v>
      </c>
      <c r="CB58" s="26">
        <v>0</v>
      </c>
      <c r="CC58" s="26">
        <v>0</v>
      </c>
      <c r="CD58" s="26">
        <v>0</v>
      </c>
      <c r="CE58" s="63">
        <f t="shared" si="1"/>
        <v>35</v>
      </c>
      <c r="CF58" s="63">
        <f t="shared" si="2"/>
        <v>56</v>
      </c>
      <c r="CG58" s="64">
        <f t="shared" si="3"/>
        <v>24</v>
      </c>
      <c r="CH58" s="114">
        <v>24</v>
      </c>
      <c r="CI58" s="115">
        <f t="shared" si="4"/>
        <v>48</v>
      </c>
    </row>
    <row r="59" spans="1:87" ht="15" customHeight="1">
      <c r="A59" s="20">
        <v>37</v>
      </c>
      <c r="B59" s="117" t="s">
        <v>117</v>
      </c>
      <c r="C59" s="106" t="s">
        <v>167</v>
      </c>
      <c r="D59" s="109" t="s">
        <v>171</v>
      </c>
      <c r="E59" s="110"/>
      <c r="F59" s="21">
        <v>0</v>
      </c>
      <c r="G59" s="22">
        <v>0</v>
      </c>
      <c r="H59" s="22">
        <v>0</v>
      </c>
      <c r="I59" s="22">
        <v>1</v>
      </c>
      <c r="J59" s="22">
        <v>0</v>
      </c>
      <c r="K59" s="22">
        <v>0</v>
      </c>
      <c r="L59" s="22">
        <v>2</v>
      </c>
      <c r="M59" s="22">
        <v>2</v>
      </c>
      <c r="N59" s="22">
        <v>1</v>
      </c>
      <c r="O59" s="22">
        <v>1</v>
      </c>
      <c r="P59" s="22">
        <v>1</v>
      </c>
      <c r="Q59" s="22">
        <v>1</v>
      </c>
      <c r="R59" s="22">
        <v>2</v>
      </c>
      <c r="S59" s="22">
        <v>2</v>
      </c>
      <c r="T59" s="22">
        <v>2</v>
      </c>
      <c r="U59" s="22">
        <v>1</v>
      </c>
      <c r="V59" s="22">
        <v>1</v>
      </c>
      <c r="W59" s="22">
        <v>1</v>
      </c>
      <c r="X59" s="23">
        <v>1</v>
      </c>
      <c r="Y59" s="23">
        <v>1</v>
      </c>
      <c r="Z59" s="23">
        <v>1</v>
      </c>
      <c r="AA59" s="23">
        <v>0</v>
      </c>
      <c r="AB59" s="22">
        <v>2</v>
      </c>
      <c r="AC59" s="22">
        <v>0</v>
      </c>
      <c r="AD59" s="22">
        <v>0</v>
      </c>
      <c r="AE59" s="22">
        <v>2</v>
      </c>
      <c r="AF59" s="22">
        <v>1</v>
      </c>
      <c r="AG59" s="22">
        <v>0</v>
      </c>
      <c r="AH59" s="22">
        <v>0</v>
      </c>
      <c r="AI59" s="22">
        <v>0</v>
      </c>
      <c r="AJ59" s="22">
        <v>2</v>
      </c>
      <c r="AK59" s="22">
        <v>0</v>
      </c>
      <c r="AL59" s="22">
        <v>0</v>
      </c>
      <c r="AM59" s="22">
        <v>0</v>
      </c>
      <c r="AN59" s="40">
        <f t="shared" si="0"/>
        <v>28</v>
      </c>
      <c r="AO59" s="25">
        <v>1</v>
      </c>
      <c r="AP59" s="26">
        <v>0</v>
      </c>
      <c r="AQ59" s="26">
        <v>1</v>
      </c>
      <c r="AR59" s="26">
        <v>1</v>
      </c>
      <c r="AS59" s="26">
        <v>1</v>
      </c>
      <c r="AT59" s="26">
        <v>1</v>
      </c>
      <c r="AU59" s="26">
        <v>0</v>
      </c>
      <c r="AV59" s="26">
        <v>4</v>
      </c>
      <c r="AW59" s="26">
        <v>1</v>
      </c>
      <c r="AX59" s="26">
        <v>1</v>
      </c>
      <c r="AY59" s="26">
        <v>2</v>
      </c>
      <c r="AZ59" s="26">
        <v>1</v>
      </c>
      <c r="BA59" s="26">
        <v>2</v>
      </c>
      <c r="BB59" s="26">
        <v>2</v>
      </c>
      <c r="BC59" s="26">
        <v>2</v>
      </c>
      <c r="BD59" s="26">
        <v>0</v>
      </c>
      <c r="BE59" s="26">
        <v>0</v>
      </c>
      <c r="BF59" s="26">
        <v>1</v>
      </c>
      <c r="BG59" s="26">
        <v>1</v>
      </c>
      <c r="BH59" s="26">
        <v>3</v>
      </c>
      <c r="BI59" s="26">
        <v>2</v>
      </c>
      <c r="BJ59" s="26">
        <v>0</v>
      </c>
      <c r="BK59" s="26">
        <v>0</v>
      </c>
      <c r="BL59" s="26" t="s">
        <v>172</v>
      </c>
      <c r="BM59" s="26">
        <v>0</v>
      </c>
      <c r="BN59" s="26">
        <v>1</v>
      </c>
      <c r="BO59" s="26">
        <v>1</v>
      </c>
      <c r="BP59" s="26">
        <v>1</v>
      </c>
      <c r="BQ59" s="26">
        <v>3</v>
      </c>
      <c r="BR59" s="26">
        <v>1</v>
      </c>
      <c r="BS59" s="26">
        <v>2</v>
      </c>
      <c r="BT59" s="26">
        <v>2</v>
      </c>
      <c r="BU59" s="26">
        <v>2</v>
      </c>
      <c r="BV59" s="26">
        <v>1</v>
      </c>
      <c r="BW59" s="26">
        <v>0</v>
      </c>
      <c r="BX59" s="26">
        <v>0</v>
      </c>
      <c r="BY59" s="26">
        <v>0</v>
      </c>
      <c r="BZ59" s="26">
        <v>0</v>
      </c>
      <c r="CA59" s="26">
        <v>2</v>
      </c>
      <c r="CB59" s="26">
        <v>0</v>
      </c>
      <c r="CC59" s="26">
        <v>0</v>
      </c>
      <c r="CD59" s="26">
        <v>0</v>
      </c>
      <c r="CE59" s="63">
        <f t="shared" si="1"/>
        <v>43</v>
      </c>
      <c r="CF59" s="63">
        <f t="shared" si="2"/>
        <v>71</v>
      </c>
      <c r="CG59" s="64">
        <f t="shared" si="3"/>
        <v>30.428571428571427</v>
      </c>
      <c r="CH59" s="114">
        <v>23.6</v>
      </c>
      <c r="CI59" s="115">
        <f t="shared" si="4"/>
        <v>54.028571428571425</v>
      </c>
    </row>
    <row r="60" spans="1:87" ht="15" customHeight="1">
      <c r="A60" s="20">
        <v>38</v>
      </c>
      <c r="B60" s="117" t="s">
        <v>118</v>
      </c>
      <c r="C60" s="106" t="s">
        <v>167</v>
      </c>
      <c r="D60" s="109" t="s">
        <v>171</v>
      </c>
      <c r="E60" s="110"/>
      <c r="F60" s="21">
        <v>1</v>
      </c>
      <c r="G60" s="22">
        <v>1</v>
      </c>
      <c r="H60" s="22">
        <v>1</v>
      </c>
      <c r="I60" s="22">
        <v>1</v>
      </c>
      <c r="J60" s="22">
        <v>1</v>
      </c>
      <c r="K60" s="22">
        <v>1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1</v>
      </c>
      <c r="R60" s="22">
        <v>0</v>
      </c>
      <c r="S60" s="22">
        <v>1</v>
      </c>
      <c r="T60" s="22">
        <v>2</v>
      </c>
      <c r="U60" s="22">
        <v>0</v>
      </c>
      <c r="V60" s="22">
        <v>1</v>
      </c>
      <c r="W60" s="22">
        <v>0</v>
      </c>
      <c r="X60" s="23">
        <v>1</v>
      </c>
      <c r="Y60" s="23">
        <v>1</v>
      </c>
      <c r="Z60" s="23">
        <v>1</v>
      </c>
      <c r="AA60" s="23">
        <v>2</v>
      </c>
      <c r="AB60" s="22">
        <v>2</v>
      </c>
      <c r="AC60" s="22">
        <v>0</v>
      </c>
      <c r="AD60" s="22">
        <v>2</v>
      </c>
      <c r="AE60" s="22">
        <v>2</v>
      </c>
      <c r="AF60" s="22">
        <v>1</v>
      </c>
      <c r="AG60" s="22">
        <v>0</v>
      </c>
      <c r="AH60" s="22">
        <v>0</v>
      </c>
      <c r="AI60" s="22">
        <v>2</v>
      </c>
      <c r="AJ60" s="22">
        <v>1</v>
      </c>
      <c r="AK60" s="22">
        <v>2</v>
      </c>
      <c r="AL60" s="22">
        <v>0</v>
      </c>
      <c r="AM60" s="22">
        <v>0</v>
      </c>
      <c r="AN60" s="40">
        <f t="shared" si="0"/>
        <v>28</v>
      </c>
      <c r="AO60" s="25">
        <v>2</v>
      </c>
      <c r="AP60" s="26">
        <v>1</v>
      </c>
      <c r="AQ60" s="26">
        <v>0</v>
      </c>
      <c r="AR60" s="26">
        <v>0</v>
      </c>
      <c r="AS60" s="26">
        <v>1</v>
      </c>
      <c r="AT60" s="26">
        <v>1</v>
      </c>
      <c r="AU60" s="26">
        <v>0</v>
      </c>
      <c r="AV60" s="26">
        <v>1</v>
      </c>
      <c r="AW60" s="26">
        <v>1</v>
      </c>
      <c r="AX60" s="26">
        <v>0</v>
      </c>
      <c r="AY60" s="26">
        <v>2</v>
      </c>
      <c r="AZ60" s="26">
        <v>1</v>
      </c>
      <c r="BA60" s="26">
        <v>3</v>
      </c>
      <c r="BB60" s="26">
        <v>2</v>
      </c>
      <c r="BC60" s="26">
        <v>2</v>
      </c>
      <c r="BD60" s="26">
        <v>1</v>
      </c>
      <c r="BE60" s="26">
        <v>1</v>
      </c>
      <c r="BF60" s="26">
        <v>1</v>
      </c>
      <c r="BG60" s="26">
        <v>1</v>
      </c>
      <c r="BH60" s="26">
        <v>3</v>
      </c>
      <c r="BI60" s="26">
        <v>0</v>
      </c>
      <c r="BJ60" s="26">
        <v>2</v>
      </c>
      <c r="BK60" s="26">
        <v>2</v>
      </c>
      <c r="BL60" s="26">
        <v>1</v>
      </c>
      <c r="BM60" s="26">
        <v>0</v>
      </c>
      <c r="BN60" s="26">
        <v>1</v>
      </c>
      <c r="BO60" s="26">
        <v>0</v>
      </c>
      <c r="BP60" s="26">
        <v>0</v>
      </c>
      <c r="BQ60" s="26">
        <v>0</v>
      </c>
      <c r="BR60" s="26">
        <v>0</v>
      </c>
      <c r="BS60" s="26">
        <v>2</v>
      </c>
      <c r="BT60" s="26">
        <v>3</v>
      </c>
      <c r="BU60" s="26">
        <v>2</v>
      </c>
      <c r="BV60" s="26">
        <v>1</v>
      </c>
      <c r="BW60" s="26">
        <v>2</v>
      </c>
      <c r="BX60" s="26">
        <v>0</v>
      </c>
      <c r="BY60" s="26">
        <v>2</v>
      </c>
      <c r="BZ60" s="26">
        <v>0</v>
      </c>
      <c r="CA60" s="26">
        <v>2</v>
      </c>
      <c r="CB60" s="26">
        <v>0</v>
      </c>
      <c r="CC60" s="26">
        <v>0</v>
      </c>
      <c r="CD60" s="26">
        <v>0</v>
      </c>
      <c r="CE60" s="63">
        <f t="shared" si="1"/>
        <v>44</v>
      </c>
      <c r="CF60" s="63">
        <f t="shared" si="2"/>
        <v>72</v>
      </c>
      <c r="CG60" s="64">
        <f t="shared" si="3"/>
        <v>30.857142857142854</v>
      </c>
      <c r="CH60" s="114">
        <v>24</v>
      </c>
      <c r="CI60" s="115">
        <f t="shared" si="4"/>
        <v>54.857142857142854</v>
      </c>
    </row>
    <row r="61" spans="1:87" ht="15.75" customHeight="1">
      <c r="A61" s="20">
        <v>39</v>
      </c>
      <c r="B61" s="117" t="s">
        <v>119</v>
      </c>
      <c r="C61" s="106" t="s">
        <v>167</v>
      </c>
      <c r="D61" s="109" t="s">
        <v>171</v>
      </c>
      <c r="E61" s="110"/>
      <c r="F61" s="21">
        <v>0</v>
      </c>
      <c r="G61" s="22">
        <v>1</v>
      </c>
      <c r="H61" s="22">
        <v>0</v>
      </c>
      <c r="I61" s="22">
        <v>1</v>
      </c>
      <c r="J61" s="22">
        <v>1</v>
      </c>
      <c r="K61" s="22">
        <v>1</v>
      </c>
      <c r="L61" s="22">
        <v>0</v>
      </c>
      <c r="M61" s="22">
        <v>1</v>
      </c>
      <c r="N61" s="22">
        <v>1</v>
      </c>
      <c r="O61" s="22">
        <v>1</v>
      </c>
      <c r="P61" s="22">
        <v>0</v>
      </c>
      <c r="Q61" s="22">
        <v>1</v>
      </c>
      <c r="R61" s="22">
        <v>2</v>
      </c>
      <c r="S61" s="22">
        <v>2</v>
      </c>
      <c r="T61" s="22">
        <v>1</v>
      </c>
      <c r="U61" s="22">
        <v>0</v>
      </c>
      <c r="V61" s="22">
        <v>1</v>
      </c>
      <c r="W61" s="22">
        <v>0</v>
      </c>
      <c r="X61" s="23">
        <v>1</v>
      </c>
      <c r="Y61" s="23">
        <v>1</v>
      </c>
      <c r="Z61" s="23">
        <v>1</v>
      </c>
      <c r="AA61" s="23">
        <v>1</v>
      </c>
      <c r="AB61" s="22">
        <v>2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 t="s">
        <v>172</v>
      </c>
      <c r="AI61" s="22">
        <v>2</v>
      </c>
      <c r="AJ61" s="22">
        <v>2</v>
      </c>
      <c r="AK61" s="22">
        <v>0</v>
      </c>
      <c r="AL61" s="22">
        <v>0</v>
      </c>
      <c r="AM61" s="22">
        <v>0</v>
      </c>
      <c r="AN61" s="40">
        <f t="shared" si="0"/>
        <v>24</v>
      </c>
      <c r="AO61" s="25">
        <v>1</v>
      </c>
      <c r="AP61" s="26" t="s">
        <v>172</v>
      </c>
      <c r="AQ61" s="26" t="s">
        <v>172</v>
      </c>
      <c r="AR61" s="26">
        <v>0</v>
      </c>
      <c r="AS61" s="26">
        <v>1</v>
      </c>
      <c r="AT61" s="26">
        <v>1</v>
      </c>
      <c r="AU61" s="26">
        <v>0</v>
      </c>
      <c r="AV61" s="26">
        <v>1</v>
      </c>
      <c r="AW61" s="26">
        <v>0</v>
      </c>
      <c r="AX61" s="26">
        <v>0</v>
      </c>
      <c r="AY61" s="26">
        <v>2</v>
      </c>
      <c r="AZ61" s="26">
        <v>0</v>
      </c>
      <c r="BA61" s="26">
        <v>1</v>
      </c>
      <c r="BB61" s="26">
        <v>2</v>
      </c>
      <c r="BC61" s="26">
        <v>0</v>
      </c>
      <c r="BD61" s="26">
        <v>1</v>
      </c>
      <c r="BE61" s="26">
        <v>1</v>
      </c>
      <c r="BF61" s="26">
        <v>0</v>
      </c>
      <c r="BG61" s="26">
        <v>1</v>
      </c>
      <c r="BH61" s="26">
        <v>3</v>
      </c>
      <c r="BI61" s="26">
        <v>0</v>
      </c>
      <c r="BJ61" s="26">
        <v>0</v>
      </c>
      <c r="BK61" s="26">
        <v>1</v>
      </c>
      <c r="BL61" s="26">
        <v>1</v>
      </c>
      <c r="BM61" s="26">
        <v>0</v>
      </c>
      <c r="BN61" s="26">
        <v>1</v>
      </c>
      <c r="BO61" s="26">
        <v>1</v>
      </c>
      <c r="BP61" s="26">
        <v>0</v>
      </c>
      <c r="BQ61" s="26">
        <v>2</v>
      </c>
      <c r="BR61" s="26">
        <v>0</v>
      </c>
      <c r="BS61" s="26">
        <v>0</v>
      </c>
      <c r="BT61" s="26">
        <v>0</v>
      </c>
      <c r="BU61" s="26">
        <v>2</v>
      </c>
      <c r="BV61" s="26">
        <v>0</v>
      </c>
      <c r="BW61" s="26">
        <v>0</v>
      </c>
      <c r="BX61" s="26">
        <v>0</v>
      </c>
      <c r="BY61" s="26">
        <v>2</v>
      </c>
      <c r="BZ61" s="26">
        <v>0</v>
      </c>
      <c r="CA61" s="26">
        <v>2</v>
      </c>
      <c r="CB61" s="26" t="s">
        <v>172</v>
      </c>
      <c r="CC61" s="26">
        <v>0</v>
      </c>
      <c r="CD61" s="26">
        <v>0</v>
      </c>
      <c r="CE61" s="63">
        <f t="shared" si="1"/>
        <v>27</v>
      </c>
      <c r="CF61" s="63">
        <f t="shared" si="2"/>
        <v>51</v>
      </c>
      <c r="CG61" s="64">
        <f t="shared" si="3"/>
        <v>21.857142857142858</v>
      </c>
      <c r="CH61" s="114">
        <v>22</v>
      </c>
      <c r="CI61" s="115">
        <f t="shared" si="4"/>
        <v>43.857142857142861</v>
      </c>
    </row>
    <row r="62" spans="1:87" ht="15" customHeight="1">
      <c r="A62" s="20">
        <v>40</v>
      </c>
      <c r="B62" s="117" t="s">
        <v>120</v>
      </c>
      <c r="C62" s="106" t="s">
        <v>167</v>
      </c>
      <c r="D62" s="109" t="s">
        <v>171</v>
      </c>
      <c r="E62" s="110"/>
      <c r="F62" s="21">
        <v>0</v>
      </c>
      <c r="G62" s="22">
        <v>0</v>
      </c>
      <c r="H62" s="22">
        <v>1</v>
      </c>
      <c r="I62" s="22">
        <v>1</v>
      </c>
      <c r="J62" s="22">
        <v>1</v>
      </c>
      <c r="K62" s="22">
        <v>1</v>
      </c>
      <c r="L62" s="22">
        <v>1</v>
      </c>
      <c r="M62" s="22">
        <v>1</v>
      </c>
      <c r="N62" s="22">
        <v>1</v>
      </c>
      <c r="O62" s="22">
        <v>1</v>
      </c>
      <c r="P62" s="22">
        <v>1</v>
      </c>
      <c r="Q62" s="22">
        <v>1</v>
      </c>
      <c r="R62" s="22">
        <v>2</v>
      </c>
      <c r="S62" s="22">
        <v>1</v>
      </c>
      <c r="T62" s="22">
        <v>2</v>
      </c>
      <c r="U62" s="22">
        <v>0</v>
      </c>
      <c r="V62" s="22">
        <v>0</v>
      </c>
      <c r="W62" s="22">
        <v>1</v>
      </c>
      <c r="X62" s="23">
        <v>0</v>
      </c>
      <c r="Y62" s="23">
        <v>0</v>
      </c>
      <c r="Z62" s="23">
        <v>0</v>
      </c>
      <c r="AA62" s="23">
        <v>0</v>
      </c>
      <c r="AB62" s="22">
        <v>1</v>
      </c>
      <c r="AC62" s="22">
        <v>0</v>
      </c>
      <c r="AD62" s="22">
        <v>2</v>
      </c>
      <c r="AE62" s="22">
        <v>0</v>
      </c>
      <c r="AF62" s="22">
        <v>2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40">
        <f t="shared" si="0"/>
        <v>21</v>
      </c>
      <c r="AO62" s="25">
        <v>0</v>
      </c>
      <c r="AP62" s="26">
        <v>1</v>
      </c>
      <c r="AQ62" s="26">
        <v>0</v>
      </c>
      <c r="AR62" s="26">
        <v>0</v>
      </c>
      <c r="AS62" s="26">
        <v>1</v>
      </c>
      <c r="AT62" s="26">
        <v>1</v>
      </c>
      <c r="AU62" s="26">
        <v>0</v>
      </c>
      <c r="AV62" s="26">
        <v>0</v>
      </c>
      <c r="AW62" s="26">
        <v>0</v>
      </c>
      <c r="AX62" s="26">
        <v>0</v>
      </c>
      <c r="AY62" s="26">
        <v>2</v>
      </c>
      <c r="AZ62" s="26">
        <v>1</v>
      </c>
      <c r="BA62" s="26">
        <v>0</v>
      </c>
      <c r="BB62" s="26">
        <v>2</v>
      </c>
      <c r="BC62" s="26">
        <v>0</v>
      </c>
      <c r="BD62" s="26">
        <v>0</v>
      </c>
      <c r="BE62" s="26">
        <v>0</v>
      </c>
      <c r="BF62" s="26">
        <v>0</v>
      </c>
      <c r="BG62" s="26">
        <v>1</v>
      </c>
      <c r="BH62" s="26">
        <v>3</v>
      </c>
      <c r="BI62" s="26">
        <v>0</v>
      </c>
      <c r="BJ62" s="26">
        <v>0</v>
      </c>
      <c r="BK62" s="26">
        <v>0</v>
      </c>
      <c r="BL62" s="26">
        <v>2</v>
      </c>
      <c r="BM62" s="26">
        <v>0</v>
      </c>
      <c r="BN62" s="26">
        <v>1</v>
      </c>
      <c r="BO62" s="26">
        <v>0</v>
      </c>
      <c r="BP62" s="26">
        <v>1</v>
      </c>
      <c r="BQ62" s="26">
        <v>1</v>
      </c>
      <c r="BR62" s="26">
        <v>0</v>
      </c>
      <c r="BS62" s="26">
        <v>2</v>
      </c>
      <c r="BT62" s="26">
        <v>3</v>
      </c>
      <c r="BU62" s="26">
        <v>2</v>
      </c>
      <c r="BV62" s="26">
        <v>1</v>
      </c>
      <c r="BW62" s="26">
        <v>0</v>
      </c>
      <c r="BX62" s="26">
        <v>0</v>
      </c>
      <c r="BY62" s="26">
        <v>2</v>
      </c>
      <c r="BZ62" s="26">
        <v>0</v>
      </c>
      <c r="CA62" s="26">
        <v>2</v>
      </c>
      <c r="CB62" s="26">
        <v>0</v>
      </c>
      <c r="CC62" s="26">
        <v>0</v>
      </c>
      <c r="CD62" s="26">
        <v>0</v>
      </c>
      <c r="CE62" s="63">
        <f t="shared" si="1"/>
        <v>29</v>
      </c>
      <c r="CF62" s="63">
        <f t="shared" si="2"/>
        <v>50</v>
      </c>
      <c r="CG62" s="64">
        <f t="shared" si="3"/>
        <v>21.428571428571431</v>
      </c>
      <c r="CH62" s="114">
        <v>19.8</v>
      </c>
      <c r="CI62" s="115">
        <f t="shared" si="4"/>
        <v>41.228571428571428</v>
      </c>
    </row>
    <row r="63" spans="1:87" ht="15" customHeight="1">
      <c r="A63" s="20">
        <v>41</v>
      </c>
      <c r="B63" s="117" t="s">
        <v>121</v>
      </c>
      <c r="C63" s="106" t="s">
        <v>167</v>
      </c>
      <c r="D63" s="109" t="s">
        <v>171</v>
      </c>
      <c r="E63" s="110"/>
      <c r="F63" s="21">
        <v>1</v>
      </c>
      <c r="G63" s="22">
        <v>0</v>
      </c>
      <c r="H63" s="22">
        <v>0</v>
      </c>
      <c r="I63" s="22">
        <v>1</v>
      </c>
      <c r="J63" s="22">
        <v>1</v>
      </c>
      <c r="K63" s="22">
        <v>1</v>
      </c>
      <c r="L63" s="22">
        <v>2</v>
      </c>
      <c r="M63" s="22">
        <v>2</v>
      </c>
      <c r="N63" s="22">
        <v>1</v>
      </c>
      <c r="O63" s="22">
        <v>1</v>
      </c>
      <c r="P63" s="22">
        <v>1</v>
      </c>
      <c r="Q63" s="22">
        <v>1</v>
      </c>
      <c r="R63" s="22">
        <v>2</v>
      </c>
      <c r="S63" s="22">
        <v>1</v>
      </c>
      <c r="T63" s="22">
        <v>1</v>
      </c>
      <c r="U63" s="22">
        <v>1</v>
      </c>
      <c r="V63" s="22">
        <v>0</v>
      </c>
      <c r="W63" s="22">
        <v>2</v>
      </c>
      <c r="X63" s="23">
        <v>1</v>
      </c>
      <c r="Y63" s="23">
        <v>1</v>
      </c>
      <c r="Z63" s="23">
        <v>1</v>
      </c>
      <c r="AA63" s="23">
        <v>1</v>
      </c>
      <c r="AB63" s="22">
        <v>2</v>
      </c>
      <c r="AC63" s="22">
        <v>2</v>
      </c>
      <c r="AD63" s="22">
        <v>3</v>
      </c>
      <c r="AE63" s="22">
        <v>1</v>
      </c>
      <c r="AF63" s="22">
        <v>1</v>
      </c>
      <c r="AG63" s="22">
        <v>0</v>
      </c>
      <c r="AH63" s="22">
        <v>0</v>
      </c>
      <c r="AI63" s="22">
        <v>0</v>
      </c>
      <c r="AJ63" s="22">
        <v>1</v>
      </c>
      <c r="AK63" s="22">
        <v>1</v>
      </c>
      <c r="AL63" s="22" t="s">
        <v>172</v>
      </c>
      <c r="AM63" s="22" t="s">
        <v>172</v>
      </c>
      <c r="AN63" s="40">
        <f t="shared" si="0"/>
        <v>34</v>
      </c>
      <c r="AO63" s="25">
        <v>2</v>
      </c>
      <c r="AP63" s="26">
        <v>1</v>
      </c>
      <c r="AQ63" s="26">
        <v>1</v>
      </c>
      <c r="AR63" s="26" t="s">
        <v>172</v>
      </c>
      <c r="AS63" s="26">
        <v>0</v>
      </c>
      <c r="AT63" s="26">
        <v>0</v>
      </c>
      <c r="AU63" s="26">
        <v>2</v>
      </c>
      <c r="AV63" s="26">
        <v>0</v>
      </c>
      <c r="AW63" s="26">
        <v>1</v>
      </c>
      <c r="AX63" s="26">
        <v>3</v>
      </c>
      <c r="AY63" s="26">
        <v>2</v>
      </c>
      <c r="AZ63" s="26">
        <v>1</v>
      </c>
      <c r="BA63" s="26" t="s">
        <v>172</v>
      </c>
      <c r="BB63" s="26">
        <v>2</v>
      </c>
      <c r="BC63" s="26">
        <v>2</v>
      </c>
      <c r="BD63" s="26">
        <v>1</v>
      </c>
      <c r="BE63" s="26">
        <v>0</v>
      </c>
      <c r="BF63" s="26">
        <v>0</v>
      </c>
      <c r="BG63" s="26">
        <v>1</v>
      </c>
      <c r="BH63" s="26">
        <v>3</v>
      </c>
      <c r="BI63" s="26">
        <v>2</v>
      </c>
      <c r="BJ63" s="26">
        <v>2</v>
      </c>
      <c r="BK63" s="26" t="s">
        <v>172</v>
      </c>
      <c r="BL63" s="26" t="s">
        <v>172</v>
      </c>
      <c r="BM63" s="26">
        <v>1</v>
      </c>
      <c r="BN63" s="26" t="s">
        <v>172</v>
      </c>
      <c r="BO63" s="26" t="s">
        <v>172</v>
      </c>
      <c r="BP63" s="26">
        <v>0</v>
      </c>
      <c r="BQ63" s="26">
        <v>1</v>
      </c>
      <c r="BR63" s="26" t="s">
        <v>172</v>
      </c>
      <c r="BS63" s="26">
        <v>2</v>
      </c>
      <c r="BT63" s="26">
        <v>3</v>
      </c>
      <c r="BU63" s="26">
        <v>2</v>
      </c>
      <c r="BV63" s="26">
        <v>1</v>
      </c>
      <c r="BW63" s="26">
        <v>2</v>
      </c>
      <c r="BX63" s="26">
        <v>0</v>
      </c>
      <c r="BY63" s="26">
        <v>2</v>
      </c>
      <c r="BZ63" s="26" t="s">
        <v>172</v>
      </c>
      <c r="CA63" s="26">
        <v>2</v>
      </c>
      <c r="CB63" s="26">
        <v>1</v>
      </c>
      <c r="CC63" s="26" t="s">
        <v>172</v>
      </c>
      <c r="CD63" s="26" t="s">
        <v>172</v>
      </c>
      <c r="CE63" s="63">
        <f t="shared" si="1"/>
        <v>43</v>
      </c>
      <c r="CF63" s="63">
        <f t="shared" si="2"/>
        <v>77</v>
      </c>
      <c r="CG63" s="64">
        <f t="shared" si="3"/>
        <v>33</v>
      </c>
      <c r="CH63" s="114">
        <v>27.8</v>
      </c>
      <c r="CI63" s="115">
        <f t="shared" si="4"/>
        <v>60.8</v>
      </c>
    </row>
    <row r="64" spans="1:87" ht="15" customHeight="1">
      <c r="A64" s="20">
        <v>42</v>
      </c>
      <c r="B64" s="120" t="s">
        <v>122</v>
      </c>
      <c r="C64" s="106" t="s">
        <v>167</v>
      </c>
      <c r="D64" s="109" t="s">
        <v>171</v>
      </c>
      <c r="E64" s="110"/>
      <c r="F64" s="21">
        <v>1</v>
      </c>
      <c r="G64" s="22">
        <v>1</v>
      </c>
      <c r="H64" s="22">
        <v>1</v>
      </c>
      <c r="I64" s="22">
        <v>1</v>
      </c>
      <c r="J64" s="22">
        <v>1</v>
      </c>
      <c r="K64" s="22">
        <v>1</v>
      </c>
      <c r="L64" s="22">
        <v>2</v>
      </c>
      <c r="M64" s="22">
        <v>2</v>
      </c>
      <c r="N64" s="22">
        <v>0</v>
      </c>
      <c r="O64" s="22">
        <v>1</v>
      </c>
      <c r="P64" s="22">
        <v>0</v>
      </c>
      <c r="Q64" s="22">
        <v>1</v>
      </c>
      <c r="R64" s="22">
        <v>2</v>
      </c>
      <c r="S64" s="22">
        <v>2</v>
      </c>
      <c r="T64" s="22">
        <v>2</v>
      </c>
      <c r="U64" s="22">
        <v>1</v>
      </c>
      <c r="V64" s="22">
        <v>0</v>
      </c>
      <c r="W64" s="22">
        <v>2</v>
      </c>
      <c r="X64" s="23">
        <v>2</v>
      </c>
      <c r="Y64" s="23">
        <v>1</v>
      </c>
      <c r="Z64" s="23">
        <v>0</v>
      </c>
      <c r="AA64" s="23">
        <v>0</v>
      </c>
      <c r="AB64" s="22">
        <v>1</v>
      </c>
      <c r="AC64" s="22">
        <v>0</v>
      </c>
      <c r="AD64" s="22">
        <v>2</v>
      </c>
      <c r="AE64" s="22">
        <v>2</v>
      </c>
      <c r="AF64" s="22">
        <v>2</v>
      </c>
      <c r="AG64" s="22">
        <v>0</v>
      </c>
      <c r="AH64" s="22">
        <v>0</v>
      </c>
      <c r="AI64" s="22">
        <v>0</v>
      </c>
      <c r="AJ64" s="22">
        <v>1</v>
      </c>
      <c r="AK64" s="22">
        <v>2</v>
      </c>
      <c r="AL64" s="22">
        <v>0</v>
      </c>
      <c r="AM64" s="22">
        <v>0</v>
      </c>
      <c r="AN64" s="40">
        <f t="shared" si="0"/>
        <v>34</v>
      </c>
      <c r="AO64" s="25">
        <v>2</v>
      </c>
      <c r="AP64" s="26">
        <v>1</v>
      </c>
      <c r="AQ64" s="26">
        <v>2</v>
      </c>
      <c r="AR64" s="26">
        <v>1</v>
      </c>
      <c r="AS64" s="26">
        <v>2</v>
      </c>
      <c r="AT64" s="26">
        <v>3</v>
      </c>
      <c r="AU64" s="26">
        <v>2</v>
      </c>
      <c r="AV64" s="26">
        <v>4</v>
      </c>
      <c r="AW64" s="26">
        <v>0</v>
      </c>
      <c r="AX64" s="26">
        <v>2</v>
      </c>
      <c r="AY64" s="26">
        <v>2</v>
      </c>
      <c r="AZ64" s="26">
        <v>1</v>
      </c>
      <c r="BA64" s="26">
        <v>0</v>
      </c>
      <c r="BB64" s="26">
        <v>2</v>
      </c>
      <c r="BC64" s="26">
        <v>0</v>
      </c>
      <c r="BD64" s="26">
        <v>1</v>
      </c>
      <c r="BE64" s="26">
        <v>1</v>
      </c>
      <c r="BF64" s="26">
        <v>0</v>
      </c>
      <c r="BG64" s="26">
        <v>1</v>
      </c>
      <c r="BH64" s="26">
        <v>3</v>
      </c>
      <c r="BI64" s="26">
        <v>0</v>
      </c>
      <c r="BJ64" s="26">
        <v>0</v>
      </c>
      <c r="BK64" s="26">
        <v>0</v>
      </c>
      <c r="BL64" s="26">
        <v>2</v>
      </c>
      <c r="BM64" s="26">
        <v>0</v>
      </c>
      <c r="BN64" s="26">
        <v>1</v>
      </c>
      <c r="BO64" s="26">
        <v>1</v>
      </c>
      <c r="BP64" s="26">
        <v>1</v>
      </c>
      <c r="BQ64" s="26">
        <v>3</v>
      </c>
      <c r="BR64" s="26">
        <v>1</v>
      </c>
      <c r="BS64" s="26">
        <v>2</v>
      </c>
      <c r="BT64" s="26">
        <v>2</v>
      </c>
      <c r="BU64" s="26">
        <v>2</v>
      </c>
      <c r="BV64" s="26">
        <v>0</v>
      </c>
      <c r="BW64" s="26">
        <v>0</v>
      </c>
      <c r="BX64" s="26">
        <v>2</v>
      </c>
      <c r="BY64" s="26">
        <v>2</v>
      </c>
      <c r="BZ64" s="26">
        <v>2</v>
      </c>
      <c r="CA64" s="26">
        <v>2</v>
      </c>
      <c r="CB64" s="26" t="s">
        <v>172</v>
      </c>
      <c r="CC64" s="26">
        <v>2</v>
      </c>
      <c r="CD64" s="26" t="s">
        <v>172</v>
      </c>
      <c r="CE64" s="63">
        <f t="shared" si="1"/>
        <v>55</v>
      </c>
      <c r="CF64" s="63">
        <f t="shared" si="2"/>
        <v>89</v>
      </c>
      <c r="CG64" s="64">
        <f t="shared" si="3"/>
        <v>38.142857142857139</v>
      </c>
      <c r="CH64" s="114">
        <v>17.399999999999999</v>
      </c>
      <c r="CI64" s="115">
        <f t="shared" si="4"/>
        <v>55.542857142857137</v>
      </c>
    </row>
    <row r="65" spans="1:87" ht="15" customHeight="1">
      <c r="A65" s="20">
        <v>43</v>
      </c>
      <c r="B65" s="117" t="s">
        <v>123</v>
      </c>
      <c r="C65" s="106" t="s">
        <v>167</v>
      </c>
      <c r="D65" s="109" t="s">
        <v>171</v>
      </c>
      <c r="E65" s="110"/>
      <c r="F65" s="21">
        <v>1</v>
      </c>
      <c r="G65" s="22">
        <v>0</v>
      </c>
      <c r="H65" s="22">
        <v>0</v>
      </c>
      <c r="I65" s="22">
        <v>1</v>
      </c>
      <c r="J65" s="22">
        <v>1</v>
      </c>
      <c r="K65" s="22">
        <v>1</v>
      </c>
      <c r="L65" s="22">
        <v>1</v>
      </c>
      <c r="M65" s="22">
        <v>1</v>
      </c>
      <c r="N65" s="22">
        <v>1</v>
      </c>
      <c r="O65" s="22">
        <v>1</v>
      </c>
      <c r="P65" s="22">
        <v>1</v>
      </c>
      <c r="Q65" s="22">
        <v>1</v>
      </c>
      <c r="R65" s="22">
        <v>1</v>
      </c>
      <c r="S65" s="22">
        <v>2</v>
      </c>
      <c r="T65" s="22">
        <v>1</v>
      </c>
      <c r="U65" s="22">
        <v>1</v>
      </c>
      <c r="V65" s="22">
        <v>0</v>
      </c>
      <c r="W65" s="22">
        <v>2</v>
      </c>
      <c r="X65" s="23">
        <v>1</v>
      </c>
      <c r="Y65" s="23">
        <v>1</v>
      </c>
      <c r="Z65" s="23">
        <v>1</v>
      </c>
      <c r="AA65" s="23">
        <v>2</v>
      </c>
      <c r="AB65" s="22">
        <v>2</v>
      </c>
      <c r="AC65" s="22">
        <v>0</v>
      </c>
      <c r="AD65" s="22">
        <v>0</v>
      </c>
      <c r="AE65" s="22">
        <v>2</v>
      </c>
      <c r="AF65" s="22">
        <v>0</v>
      </c>
      <c r="AG65" s="22">
        <v>0</v>
      </c>
      <c r="AH65" s="22">
        <v>0</v>
      </c>
      <c r="AI65" s="22">
        <v>2</v>
      </c>
      <c r="AJ65" s="22">
        <v>2</v>
      </c>
      <c r="AK65" s="22">
        <v>2</v>
      </c>
      <c r="AL65" s="22">
        <v>0</v>
      </c>
      <c r="AM65" s="22">
        <v>2</v>
      </c>
      <c r="AN65" s="40">
        <f t="shared" si="0"/>
        <v>34</v>
      </c>
      <c r="AO65" s="25">
        <v>0</v>
      </c>
      <c r="AP65" s="26">
        <v>1</v>
      </c>
      <c r="AQ65" s="26">
        <v>2</v>
      </c>
      <c r="AR65" s="26">
        <v>0</v>
      </c>
      <c r="AS65" s="26">
        <v>1</v>
      </c>
      <c r="AT65" s="26">
        <v>0</v>
      </c>
      <c r="AU65" s="26">
        <v>0</v>
      </c>
      <c r="AV65" s="26">
        <v>1</v>
      </c>
      <c r="AW65" s="26">
        <v>1</v>
      </c>
      <c r="AX65" s="26">
        <v>0</v>
      </c>
      <c r="AY65" s="26">
        <v>2</v>
      </c>
      <c r="AZ65" s="26">
        <v>1</v>
      </c>
      <c r="BA65" s="26">
        <v>0</v>
      </c>
      <c r="BB65" s="26">
        <v>2</v>
      </c>
      <c r="BC65" s="26">
        <v>0</v>
      </c>
      <c r="BD65" s="26">
        <v>1</v>
      </c>
      <c r="BE65" s="26">
        <v>1</v>
      </c>
      <c r="BF65" s="26">
        <v>1</v>
      </c>
      <c r="BG65" s="26">
        <v>1</v>
      </c>
      <c r="BH65" s="26">
        <v>3</v>
      </c>
      <c r="BI65" s="26">
        <v>0</v>
      </c>
      <c r="BJ65" s="26">
        <v>0</v>
      </c>
      <c r="BK65" s="26">
        <v>0</v>
      </c>
      <c r="BL65" s="26">
        <v>1</v>
      </c>
      <c r="BM65" s="26">
        <v>0</v>
      </c>
      <c r="BN65" s="26">
        <v>1</v>
      </c>
      <c r="BO65" s="26">
        <v>1</v>
      </c>
      <c r="BP65" s="26">
        <v>1</v>
      </c>
      <c r="BQ65" s="26">
        <v>0</v>
      </c>
      <c r="BR65" s="26">
        <v>0</v>
      </c>
      <c r="BS65" s="26">
        <v>2</v>
      </c>
      <c r="BT65" s="26">
        <v>3</v>
      </c>
      <c r="BU65" s="26">
        <v>2</v>
      </c>
      <c r="BV65" s="26">
        <v>1</v>
      </c>
      <c r="BW65" s="26">
        <v>0</v>
      </c>
      <c r="BX65" s="26">
        <v>0</v>
      </c>
      <c r="BY65" s="26">
        <v>2</v>
      </c>
      <c r="BZ65" s="26">
        <v>0</v>
      </c>
      <c r="CA65" s="26">
        <v>2</v>
      </c>
      <c r="CB65" s="26" t="s">
        <v>172</v>
      </c>
      <c r="CC65" s="26" t="s">
        <v>172</v>
      </c>
      <c r="CD65" s="26" t="s">
        <v>172</v>
      </c>
      <c r="CE65" s="63">
        <f t="shared" si="1"/>
        <v>34</v>
      </c>
      <c r="CF65" s="63">
        <f t="shared" si="2"/>
        <v>68</v>
      </c>
      <c r="CG65" s="64">
        <f t="shared" si="3"/>
        <v>29.142857142857142</v>
      </c>
      <c r="CH65" s="114">
        <v>20.2</v>
      </c>
      <c r="CI65" s="115">
        <f t="shared" si="4"/>
        <v>49.342857142857142</v>
      </c>
    </row>
    <row r="66" spans="1:87" ht="15.75" customHeight="1">
      <c r="A66" s="20">
        <v>44</v>
      </c>
      <c r="B66" s="117" t="s">
        <v>124</v>
      </c>
      <c r="C66" s="106" t="s">
        <v>167</v>
      </c>
      <c r="D66" s="109" t="s">
        <v>171</v>
      </c>
      <c r="E66" s="110"/>
      <c r="F66" s="21">
        <v>1</v>
      </c>
      <c r="G66" s="22">
        <v>0</v>
      </c>
      <c r="H66" s="22">
        <v>0</v>
      </c>
      <c r="I66" s="22">
        <v>0</v>
      </c>
      <c r="J66" s="22">
        <v>1</v>
      </c>
      <c r="K66" s="22">
        <v>0</v>
      </c>
      <c r="L66" s="22" t="s">
        <v>172</v>
      </c>
      <c r="M66" s="22">
        <v>2</v>
      </c>
      <c r="N66" s="22">
        <v>1</v>
      </c>
      <c r="O66" s="22">
        <v>0</v>
      </c>
      <c r="P66" s="22">
        <v>1</v>
      </c>
      <c r="Q66" s="22">
        <v>1</v>
      </c>
      <c r="R66" s="22">
        <v>0</v>
      </c>
      <c r="S66" s="22">
        <v>1</v>
      </c>
      <c r="T66" s="22">
        <v>1</v>
      </c>
      <c r="U66" s="22" t="s">
        <v>172</v>
      </c>
      <c r="V66" s="22">
        <v>0</v>
      </c>
      <c r="W66" s="22" t="s">
        <v>172</v>
      </c>
      <c r="X66" s="23">
        <v>2</v>
      </c>
      <c r="Y66" s="23">
        <v>0</v>
      </c>
      <c r="Z66" s="23">
        <v>0</v>
      </c>
      <c r="AA66" s="23">
        <v>0</v>
      </c>
      <c r="AB66" s="22">
        <v>0</v>
      </c>
      <c r="AC66" s="22">
        <v>0</v>
      </c>
      <c r="AD66" s="22">
        <v>1</v>
      </c>
      <c r="AE66" s="22">
        <v>0</v>
      </c>
      <c r="AF66" s="22">
        <v>1</v>
      </c>
      <c r="AG66" s="22" t="s">
        <v>172</v>
      </c>
      <c r="AH66" s="22" t="s">
        <v>172</v>
      </c>
      <c r="AI66" s="22">
        <v>2</v>
      </c>
      <c r="AJ66" s="22">
        <v>1</v>
      </c>
      <c r="AK66" s="22">
        <v>2</v>
      </c>
      <c r="AL66" s="22" t="s">
        <v>172</v>
      </c>
      <c r="AM66" s="22" t="s">
        <v>172</v>
      </c>
      <c r="AN66" s="40">
        <f t="shared" si="0"/>
        <v>18</v>
      </c>
      <c r="AO66" s="25">
        <v>1</v>
      </c>
      <c r="AP66" s="26">
        <v>1</v>
      </c>
      <c r="AQ66" s="26">
        <v>2</v>
      </c>
      <c r="AR66" s="26">
        <v>1</v>
      </c>
      <c r="AS66" s="26">
        <v>0</v>
      </c>
      <c r="AT66" s="26" t="s">
        <v>172</v>
      </c>
      <c r="AU66" s="26">
        <v>1</v>
      </c>
      <c r="AV66" s="26" t="s">
        <v>172</v>
      </c>
      <c r="AW66" s="26">
        <v>0</v>
      </c>
      <c r="AX66" s="26" t="s">
        <v>172</v>
      </c>
      <c r="AY66" s="26">
        <v>2</v>
      </c>
      <c r="AZ66" s="26">
        <v>1</v>
      </c>
      <c r="BA66" s="26">
        <v>1</v>
      </c>
      <c r="BB66" s="26">
        <v>0</v>
      </c>
      <c r="BC66" s="26">
        <v>2</v>
      </c>
      <c r="BD66" s="26">
        <v>1</v>
      </c>
      <c r="BE66" s="26">
        <v>1</v>
      </c>
      <c r="BF66" s="26">
        <v>1</v>
      </c>
      <c r="BG66" s="26">
        <v>1</v>
      </c>
      <c r="BH66" s="26">
        <v>3</v>
      </c>
      <c r="BI66" s="26" t="s">
        <v>172</v>
      </c>
      <c r="BJ66" s="26" t="s">
        <v>172</v>
      </c>
      <c r="BK66" s="26" t="s">
        <v>172</v>
      </c>
      <c r="BL66" s="26">
        <v>1</v>
      </c>
      <c r="BM66" s="26">
        <v>0</v>
      </c>
      <c r="BN66" s="26">
        <v>1</v>
      </c>
      <c r="BO66" s="26">
        <v>1</v>
      </c>
      <c r="BP66" s="26">
        <v>1</v>
      </c>
      <c r="BQ66" s="26">
        <v>2</v>
      </c>
      <c r="BR66" s="26">
        <v>0</v>
      </c>
      <c r="BS66" s="26">
        <v>2</v>
      </c>
      <c r="BT66" s="26">
        <v>3</v>
      </c>
      <c r="BU66" s="26">
        <v>2</v>
      </c>
      <c r="BV66" s="26">
        <v>0</v>
      </c>
      <c r="BW66" s="26" t="s">
        <v>172</v>
      </c>
      <c r="BX66" s="26">
        <v>0</v>
      </c>
      <c r="BY66" s="26">
        <v>2</v>
      </c>
      <c r="BZ66" s="26">
        <v>0</v>
      </c>
      <c r="CA66" s="26">
        <v>2</v>
      </c>
      <c r="CB66" s="26" t="s">
        <v>172</v>
      </c>
      <c r="CC66" s="26" t="s">
        <v>172</v>
      </c>
      <c r="CD66" s="26" t="s">
        <v>172</v>
      </c>
      <c r="CE66" s="63">
        <f t="shared" si="1"/>
        <v>36</v>
      </c>
      <c r="CF66" s="63">
        <f t="shared" si="2"/>
        <v>54</v>
      </c>
      <c r="CG66" s="64">
        <f t="shared" si="3"/>
        <v>23.142857142857142</v>
      </c>
      <c r="CH66" s="114">
        <v>25.6</v>
      </c>
      <c r="CI66" s="115">
        <f t="shared" si="4"/>
        <v>48.742857142857147</v>
      </c>
    </row>
    <row r="67" spans="1:87" ht="15" customHeight="1">
      <c r="A67" s="20">
        <v>45</v>
      </c>
      <c r="B67" s="117" t="s">
        <v>125</v>
      </c>
      <c r="C67" s="106" t="s">
        <v>167</v>
      </c>
      <c r="D67" s="109" t="s">
        <v>171</v>
      </c>
      <c r="E67" s="110"/>
      <c r="F67" s="21">
        <v>1</v>
      </c>
      <c r="G67" s="22">
        <v>1</v>
      </c>
      <c r="H67" s="22">
        <v>0</v>
      </c>
      <c r="I67" s="22">
        <v>1</v>
      </c>
      <c r="J67" s="22">
        <v>1</v>
      </c>
      <c r="K67" s="22">
        <v>1</v>
      </c>
      <c r="L67" s="22">
        <v>2</v>
      </c>
      <c r="M67" s="22">
        <v>2</v>
      </c>
      <c r="N67" s="22">
        <v>1</v>
      </c>
      <c r="O67" s="22">
        <v>1</v>
      </c>
      <c r="P67" s="22">
        <v>1</v>
      </c>
      <c r="Q67" s="22">
        <v>1</v>
      </c>
      <c r="R67" s="22">
        <v>2</v>
      </c>
      <c r="S67" s="22">
        <v>1</v>
      </c>
      <c r="T67" s="22">
        <v>3</v>
      </c>
      <c r="U67" s="22">
        <v>1</v>
      </c>
      <c r="V67" s="22">
        <v>0</v>
      </c>
      <c r="W67" s="22">
        <v>0</v>
      </c>
      <c r="X67" s="23">
        <v>2</v>
      </c>
      <c r="Y67" s="23">
        <v>1</v>
      </c>
      <c r="Z67" s="23">
        <v>0</v>
      </c>
      <c r="AA67" s="23">
        <v>2</v>
      </c>
      <c r="AB67" s="22">
        <v>2</v>
      </c>
      <c r="AC67" s="22">
        <v>2</v>
      </c>
      <c r="AD67" s="22">
        <v>3</v>
      </c>
      <c r="AE67" s="22">
        <v>2</v>
      </c>
      <c r="AF67" s="22">
        <v>2</v>
      </c>
      <c r="AG67" s="22">
        <v>0</v>
      </c>
      <c r="AH67" s="22">
        <v>1</v>
      </c>
      <c r="AI67" s="22">
        <v>2</v>
      </c>
      <c r="AJ67" s="22">
        <v>2</v>
      </c>
      <c r="AK67" s="22" t="s">
        <v>172</v>
      </c>
      <c r="AL67" s="22">
        <v>0</v>
      </c>
      <c r="AM67" s="22" t="s">
        <v>172</v>
      </c>
      <c r="AN67" s="40">
        <f t="shared" si="0"/>
        <v>41</v>
      </c>
      <c r="AO67" s="25">
        <v>2</v>
      </c>
      <c r="AP67" s="26">
        <v>1</v>
      </c>
      <c r="AQ67" s="26">
        <v>0</v>
      </c>
      <c r="AR67" s="26">
        <v>1</v>
      </c>
      <c r="AS67" s="26">
        <v>1</v>
      </c>
      <c r="AT67" s="26">
        <v>3</v>
      </c>
      <c r="AU67" s="26">
        <v>1</v>
      </c>
      <c r="AV67" s="26">
        <v>2</v>
      </c>
      <c r="AW67" s="26">
        <v>1</v>
      </c>
      <c r="AX67" s="26">
        <v>3</v>
      </c>
      <c r="AY67" s="26">
        <v>2</v>
      </c>
      <c r="AZ67" s="26">
        <v>1</v>
      </c>
      <c r="BA67" s="26">
        <v>1</v>
      </c>
      <c r="BB67" s="26">
        <v>2</v>
      </c>
      <c r="BC67" s="26">
        <v>2</v>
      </c>
      <c r="BD67" s="26">
        <v>1</v>
      </c>
      <c r="BE67" s="26">
        <v>1</v>
      </c>
      <c r="BF67" s="26">
        <v>1</v>
      </c>
      <c r="BG67" s="26">
        <v>1</v>
      </c>
      <c r="BH67" s="26">
        <v>3</v>
      </c>
      <c r="BI67" s="26">
        <v>2</v>
      </c>
      <c r="BJ67" s="26">
        <v>0</v>
      </c>
      <c r="BK67" s="26">
        <v>1</v>
      </c>
      <c r="BL67" s="26" t="s">
        <v>172</v>
      </c>
      <c r="BM67" s="26" t="s">
        <v>172</v>
      </c>
      <c r="BN67" s="26">
        <v>0</v>
      </c>
      <c r="BO67" s="26">
        <v>0</v>
      </c>
      <c r="BP67" s="26">
        <v>0</v>
      </c>
      <c r="BQ67" s="26">
        <v>1</v>
      </c>
      <c r="BR67" s="26">
        <v>0</v>
      </c>
      <c r="BS67" s="26">
        <v>2</v>
      </c>
      <c r="BT67" s="26">
        <v>3</v>
      </c>
      <c r="BU67" s="26">
        <v>2</v>
      </c>
      <c r="BV67" s="26">
        <v>1</v>
      </c>
      <c r="BW67" s="26">
        <v>0</v>
      </c>
      <c r="BX67" s="26">
        <v>0</v>
      </c>
      <c r="BY67" s="26">
        <v>2</v>
      </c>
      <c r="BZ67" s="26">
        <v>0</v>
      </c>
      <c r="CA67" s="26">
        <v>2</v>
      </c>
      <c r="CB67" s="26">
        <v>0</v>
      </c>
      <c r="CC67" s="26">
        <v>0</v>
      </c>
      <c r="CD67" s="26">
        <v>0</v>
      </c>
      <c r="CE67" s="63">
        <f t="shared" si="1"/>
        <v>46</v>
      </c>
      <c r="CF67" s="63">
        <f t="shared" si="2"/>
        <v>87</v>
      </c>
      <c r="CG67" s="64">
        <f t="shared" si="3"/>
        <v>37.285714285714285</v>
      </c>
      <c r="CH67" s="114">
        <v>23.2</v>
      </c>
      <c r="CI67" s="115">
        <f t="shared" si="4"/>
        <v>60.48571428571428</v>
      </c>
    </row>
    <row r="68" spans="1:87" ht="15" customHeight="1">
      <c r="A68" s="20">
        <v>46</v>
      </c>
      <c r="B68" s="121" t="s">
        <v>126</v>
      </c>
      <c r="C68" s="106" t="s">
        <v>168</v>
      </c>
      <c r="D68" s="109" t="s">
        <v>170</v>
      </c>
      <c r="E68" s="110"/>
      <c r="F68" s="21">
        <v>0</v>
      </c>
      <c r="G68" s="22">
        <v>0</v>
      </c>
      <c r="H68" s="22">
        <v>0</v>
      </c>
      <c r="I68" s="22">
        <v>0</v>
      </c>
      <c r="J68" s="22">
        <v>1</v>
      </c>
      <c r="K68" s="22">
        <v>0</v>
      </c>
      <c r="L68" s="22">
        <v>0</v>
      </c>
      <c r="M68" s="22">
        <v>1</v>
      </c>
      <c r="N68" s="22">
        <v>0</v>
      </c>
      <c r="O68" s="22">
        <v>1</v>
      </c>
      <c r="P68" s="22">
        <v>0</v>
      </c>
      <c r="Q68" s="22">
        <v>1</v>
      </c>
      <c r="R68" s="22">
        <v>2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3">
        <v>0</v>
      </c>
      <c r="Y68" s="23">
        <v>0</v>
      </c>
      <c r="Z68" s="23">
        <v>0</v>
      </c>
      <c r="AA68" s="23">
        <v>0</v>
      </c>
      <c r="AB68" s="22">
        <v>0</v>
      </c>
      <c r="AC68" s="22">
        <v>0</v>
      </c>
      <c r="AD68" s="22">
        <v>1</v>
      </c>
      <c r="AE68" s="22">
        <v>2</v>
      </c>
      <c r="AF68" s="22">
        <v>1</v>
      </c>
      <c r="AG68" s="22">
        <v>1</v>
      </c>
      <c r="AH68" s="22">
        <v>0</v>
      </c>
      <c r="AI68" s="22">
        <v>2</v>
      </c>
      <c r="AJ68" s="22">
        <v>0</v>
      </c>
      <c r="AK68" s="22">
        <v>0</v>
      </c>
      <c r="AL68" s="22">
        <v>0</v>
      </c>
      <c r="AM68" s="22">
        <v>0</v>
      </c>
      <c r="AN68" s="40">
        <f t="shared" si="0"/>
        <v>13</v>
      </c>
      <c r="AO68" s="25">
        <v>1</v>
      </c>
      <c r="AP68" s="26">
        <v>1</v>
      </c>
      <c r="AQ68" s="26">
        <v>0</v>
      </c>
      <c r="AR68" s="26">
        <v>0</v>
      </c>
      <c r="AS68" s="26">
        <v>0</v>
      </c>
      <c r="AT68" s="26">
        <v>0</v>
      </c>
      <c r="AU68" s="26">
        <v>0</v>
      </c>
      <c r="AV68" s="26">
        <v>0</v>
      </c>
      <c r="AW68" s="26">
        <v>0</v>
      </c>
      <c r="AX68" s="26">
        <v>0</v>
      </c>
      <c r="AY68" s="26">
        <v>0</v>
      </c>
      <c r="AZ68" s="26">
        <v>0</v>
      </c>
      <c r="BA68" s="26">
        <v>0</v>
      </c>
      <c r="BB68" s="26">
        <v>2</v>
      </c>
      <c r="BC68" s="26">
        <v>0</v>
      </c>
      <c r="BD68" s="26">
        <v>0</v>
      </c>
      <c r="BE68" s="26">
        <v>0</v>
      </c>
      <c r="BF68" s="26">
        <v>0</v>
      </c>
      <c r="BG68" s="26">
        <v>1</v>
      </c>
      <c r="BH68" s="26">
        <v>0</v>
      </c>
      <c r="BI68" s="26">
        <v>0</v>
      </c>
      <c r="BJ68" s="26">
        <v>0</v>
      </c>
      <c r="BK68" s="26">
        <v>0</v>
      </c>
      <c r="BL68" s="26">
        <v>0</v>
      </c>
      <c r="BM68" s="26">
        <v>0</v>
      </c>
      <c r="BN68" s="26">
        <v>0</v>
      </c>
      <c r="BO68" s="26">
        <v>1</v>
      </c>
      <c r="BP68" s="26">
        <v>0</v>
      </c>
      <c r="BQ68" s="26" t="s">
        <v>172</v>
      </c>
      <c r="BR68" s="26">
        <v>0</v>
      </c>
      <c r="BS68" s="26">
        <v>0</v>
      </c>
      <c r="BT68" s="26">
        <v>0</v>
      </c>
      <c r="BU68" s="26">
        <v>0</v>
      </c>
      <c r="BV68" s="26">
        <v>0</v>
      </c>
      <c r="BW68" s="26">
        <v>0</v>
      </c>
      <c r="BX68" s="26">
        <v>0</v>
      </c>
      <c r="BY68" s="26">
        <v>0</v>
      </c>
      <c r="BZ68" s="26">
        <v>0</v>
      </c>
      <c r="CA68" s="26">
        <v>2</v>
      </c>
      <c r="CB68" s="26">
        <v>0</v>
      </c>
      <c r="CC68" s="26">
        <v>0</v>
      </c>
      <c r="CD68" s="26">
        <v>0</v>
      </c>
      <c r="CE68" s="63">
        <f t="shared" si="1"/>
        <v>8</v>
      </c>
      <c r="CF68" s="63">
        <f t="shared" si="2"/>
        <v>21</v>
      </c>
      <c r="CG68" s="64">
        <f t="shared" si="3"/>
        <v>9</v>
      </c>
      <c r="CH68" s="114">
        <v>5</v>
      </c>
      <c r="CI68" s="115">
        <f t="shared" si="4"/>
        <v>14</v>
      </c>
    </row>
    <row r="69" spans="1:87" ht="15" customHeight="1">
      <c r="A69" s="20">
        <v>47</v>
      </c>
      <c r="B69" s="122" t="s">
        <v>127</v>
      </c>
      <c r="C69" s="106" t="s">
        <v>168</v>
      </c>
      <c r="D69" s="109" t="s">
        <v>170</v>
      </c>
      <c r="E69" s="110"/>
      <c r="F69" s="21">
        <v>0</v>
      </c>
      <c r="G69" s="22" t="s">
        <v>172</v>
      </c>
      <c r="H69" s="22" t="s">
        <v>172</v>
      </c>
      <c r="I69" s="22">
        <v>0</v>
      </c>
      <c r="J69" s="22">
        <v>0</v>
      </c>
      <c r="K69" s="22">
        <v>1</v>
      </c>
      <c r="L69" s="22" t="s">
        <v>172</v>
      </c>
      <c r="M69" s="22" t="s">
        <v>172</v>
      </c>
      <c r="N69" s="22">
        <v>0</v>
      </c>
      <c r="O69" s="22">
        <v>0</v>
      </c>
      <c r="P69" s="22">
        <v>0</v>
      </c>
      <c r="Q69" s="22" t="s">
        <v>172</v>
      </c>
      <c r="R69" s="22">
        <v>2</v>
      </c>
      <c r="S69" s="22">
        <v>0</v>
      </c>
      <c r="T69" s="22">
        <v>0</v>
      </c>
      <c r="U69" s="22" t="s">
        <v>172</v>
      </c>
      <c r="V69" s="22">
        <v>0</v>
      </c>
      <c r="W69" s="22" t="s">
        <v>172</v>
      </c>
      <c r="X69" s="23">
        <v>1</v>
      </c>
      <c r="Y69" s="23">
        <v>0</v>
      </c>
      <c r="Z69" s="23">
        <v>0</v>
      </c>
      <c r="AA69" s="23">
        <v>1</v>
      </c>
      <c r="AB69" s="22">
        <v>2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1</v>
      </c>
      <c r="AJ69" s="22">
        <v>0</v>
      </c>
      <c r="AK69" s="22" t="s">
        <v>172</v>
      </c>
      <c r="AL69" s="22">
        <v>0</v>
      </c>
      <c r="AM69" s="22">
        <v>0</v>
      </c>
      <c r="AN69" s="40">
        <f t="shared" si="0"/>
        <v>8</v>
      </c>
      <c r="AO69" s="25">
        <v>0</v>
      </c>
      <c r="AP69" s="26">
        <v>1</v>
      </c>
      <c r="AQ69" s="26">
        <v>0</v>
      </c>
      <c r="AR69" s="26">
        <v>0</v>
      </c>
      <c r="AS69" s="26">
        <v>0</v>
      </c>
      <c r="AT69" s="26">
        <v>0</v>
      </c>
      <c r="AU69" s="26">
        <v>0</v>
      </c>
      <c r="AV69" s="26">
        <v>0</v>
      </c>
      <c r="AW69" s="26">
        <v>0</v>
      </c>
      <c r="AX69" s="26">
        <v>0</v>
      </c>
      <c r="AY69" s="26">
        <v>0</v>
      </c>
      <c r="AZ69" s="26">
        <v>1</v>
      </c>
      <c r="BA69" s="26">
        <v>0</v>
      </c>
      <c r="BB69" s="26">
        <v>0</v>
      </c>
      <c r="BC69" s="26">
        <v>0</v>
      </c>
      <c r="BD69" s="26">
        <v>1</v>
      </c>
      <c r="BE69" s="26">
        <v>1</v>
      </c>
      <c r="BF69" s="26">
        <v>1</v>
      </c>
      <c r="BG69" s="26">
        <v>1</v>
      </c>
      <c r="BH69" s="26">
        <v>2</v>
      </c>
      <c r="BI69" s="26">
        <v>0</v>
      </c>
      <c r="BJ69" s="26">
        <v>0</v>
      </c>
      <c r="BK69" s="26">
        <v>0</v>
      </c>
      <c r="BL69" s="26">
        <v>0</v>
      </c>
      <c r="BM69" s="26">
        <v>0</v>
      </c>
      <c r="BN69" s="26">
        <v>0</v>
      </c>
      <c r="BO69" s="26">
        <v>0</v>
      </c>
      <c r="BP69" s="26">
        <v>0</v>
      </c>
      <c r="BQ69" s="26">
        <v>1</v>
      </c>
      <c r="BR69" s="26">
        <v>0</v>
      </c>
      <c r="BS69" s="26" t="s">
        <v>172</v>
      </c>
      <c r="BT69" s="26">
        <v>1</v>
      </c>
      <c r="BU69" s="26">
        <v>1</v>
      </c>
      <c r="BV69" s="26">
        <v>0</v>
      </c>
      <c r="BW69" s="26">
        <v>0</v>
      </c>
      <c r="BX69" s="26">
        <v>0</v>
      </c>
      <c r="BY69" s="26">
        <v>0</v>
      </c>
      <c r="BZ69" s="26">
        <v>0</v>
      </c>
      <c r="CA69" s="26">
        <v>2</v>
      </c>
      <c r="CB69" s="26">
        <v>0</v>
      </c>
      <c r="CC69" s="26">
        <v>0</v>
      </c>
      <c r="CD69" s="26">
        <v>0</v>
      </c>
      <c r="CE69" s="63">
        <f t="shared" si="1"/>
        <v>13</v>
      </c>
      <c r="CF69" s="63">
        <f t="shared" si="2"/>
        <v>21</v>
      </c>
      <c r="CG69" s="64">
        <f t="shared" si="3"/>
        <v>9</v>
      </c>
      <c r="CH69" s="114">
        <v>9</v>
      </c>
      <c r="CI69" s="115">
        <f t="shared" si="4"/>
        <v>18</v>
      </c>
    </row>
    <row r="70" spans="1:87" ht="15" customHeight="1">
      <c r="A70" s="20">
        <v>48</v>
      </c>
      <c r="B70" s="122" t="s">
        <v>128</v>
      </c>
      <c r="C70" s="106" t="s">
        <v>168</v>
      </c>
      <c r="D70" s="109" t="s">
        <v>170</v>
      </c>
      <c r="E70" s="110"/>
      <c r="F70" s="21">
        <v>0</v>
      </c>
      <c r="G70" s="22">
        <v>1</v>
      </c>
      <c r="H70" s="22">
        <v>1</v>
      </c>
      <c r="I70" s="22">
        <v>0</v>
      </c>
      <c r="J70" s="22">
        <v>0</v>
      </c>
      <c r="K70" s="22">
        <v>1</v>
      </c>
      <c r="L70" s="22">
        <v>0</v>
      </c>
      <c r="M70" s="22">
        <v>1</v>
      </c>
      <c r="N70" s="22">
        <v>1</v>
      </c>
      <c r="O70" s="22">
        <v>0</v>
      </c>
      <c r="P70" s="22">
        <v>1</v>
      </c>
      <c r="Q70" s="22">
        <v>1</v>
      </c>
      <c r="R70" s="22">
        <v>0</v>
      </c>
      <c r="S70" s="22">
        <v>0</v>
      </c>
      <c r="T70" s="22">
        <v>1</v>
      </c>
      <c r="U70" s="22">
        <v>0</v>
      </c>
      <c r="V70" s="22">
        <v>0</v>
      </c>
      <c r="W70" s="22">
        <v>0</v>
      </c>
      <c r="X70" s="23">
        <v>2</v>
      </c>
      <c r="Y70" s="23">
        <v>0</v>
      </c>
      <c r="Z70" s="23">
        <v>0</v>
      </c>
      <c r="AA70" s="23">
        <v>1</v>
      </c>
      <c r="AB70" s="22">
        <v>0</v>
      </c>
      <c r="AC70" s="22">
        <v>0</v>
      </c>
      <c r="AD70" s="22">
        <v>2</v>
      </c>
      <c r="AE70" s="22">
        <v>2</v>
      </c>
      <c r="AF70" s="22">
        <v>1</v>
      </c>
      <c r="AG70" s="22">
        <v>0</v>
      </c>
      <c r="AH70" s="22">
        <v>0</v>
      </c>
      <c r="AI70" s="22">
        <v>1</v>
      </c>
      <c r="AJ70" s="22" t="s">
        <v>172</v>
      </c>
      <c r="AK70" s="22">
        <v>2</v>
      </c>
      <c r="AL70" s="22">
        <v>0</v>
      </c>
      <c r="AM70" s="22">
        <v>0</v>
      </c>
      <c r="AN70" s="40">
        <f t="shared" si="0"/>
        <v>19</v>
      </c>
      <c r="AO70" s="25">
        <v>1</v>
      </c>
      <c r="AP70" s="26">
        <v>1</v>
      </c>
      <c r="AQ70" s="26">
        <v>1</v>
      </c>
      <c r="AR70" s="26">
        <v>0</v>
      </c>
      <c r="AS70" s="26">
        <v>1</v>
      </c>
      <c r="AT70" s="26">
        <v>1</v>
      </c>
      <c r="AU70" s="26">
        <v>0</v>
      </c>
      <c r="AV70" s="26">
        <v>0</v>
      </c>
      <c r="AW70" s="26">
        <v>1</v>
      </c>
      <c r="AX70" s="26">
        <v>0</v>
      </c>
      <c r="AY70" s="26">
        <v>0</v>
      </c>
      <c r="AZ70" s="26">
        <v>1</v>
      </c>
      <c r="BA70" s="26">
        <v>0</v>
      </c>
      <c r="BB70" s="26">
        <v>2</v>
      </c>
      <c r="BC70" s="26">
        <v>2</v>
      </c>
      <c r="BD70" s="26">
        <v>1</v>
      </c>
      <c r="BE70" s="26">
        <v>1</v>
      </c>
      <c r="BF70" s="26">
        <v>0</v>
      </c>
      <c r="BG70" s="26">
        <v>1</v>
      </c>
      <c r="BH70" s="26">
        <v>3</v>
      </c>
      <c r="BI70" s="26">
        <v>0</v>
      </c>
      <c r="BJ70" s="26">
        <v>0</v>
      </c>
      <c r="BK70" s="26">
        <v>0</v>
      </c>
      <c r="BL70" s="26">
        <v>0</v>
      </c>
      <c r="BM70" s="26">
        <v>0</v>
      </c>
      <c r="BN70" s="26">
        <v>0</v>
      </c>
      <c r="BO70" s="26">
        <v>1</v>
      </c>
      <c r="BP70" s="26">
        <v>1</v>
      </c>
      <c r="BQ70" s="26">
        <v>3</v>
      </c>
      <c r="BR70" s="26">
        <v>0</v>
      </c>
      <c r="BS70" s="26">
        <v>0</v>
      </c>
      <c r="BT70" s="26">
        <v>1</v>
      </c>
      <c r="BU70" s="26">
        <v>2</v>
      </c>
      <c r="BV70" s="26">
        <v>0</v>
      </c>
      <c r="BW70" s="26">
        <v>0</v>
      </c>
      <c r="BX70" s="26">
        <v>0</v>
      </c>
      <c r="BY70" s="26">
        <v>0</v>
      </c>
      <c r="BZ70" s="26">
        <v>0</v>
      </c>
      <c r="CA70" s="26">
        <v>1</v>
      </c>
      <c r="CB70" s="26">
        <v>0</v>
      </c>
      <c r="CC70" s="26">
        <v>0</v>
      </c>
      <c r="CD70" s="26">
        <v>0</v>
      </c>
      <c r="CE70" s="63">
        <f t="shared" si="1"/>
        <v>26</v>
      </c>
      <c r="CF70" s="63">
        <f t="shared" si="2"/>
        <v>45</v>
      </c>
      <c r="CG70" s="64">
        <f t="shared" si="3"/>
        <v>19.285714285714288</v>
      </c>
      <c r="CH70" s="114">
        <v>15</v>
      </c>
      <c r="CI70" s="115">
        <f t="shared" si="4"/>
        <v>34.285714285714292</v>
      </c>
    </row>
    <row r="71" spans="1:87" ht="15.75" customHeight="1">
      <c r="A71" s="20">
        <v>49</v>
      </c>
      <c r="B71" s="122" t="s">
        <v>129</v>
      </c>
      <c r="C71" s="106" t="s">
        <v>168</v>
      </c>
      <c r="D71" s="109" t="s">
        <v>170</v>
      </c>
      <c r="E71" s="110"/>
      <c r="F71" s="21">
        <v>0</v>
      </c>
      <c r="G71" s="22">
        <v>0</v>
      </c>
      <c r="H71" s="22">
        <v>0</v>
      </c>
      <c r="I71" s="22">
        <v>0</v>
      </c>
      <c r="J71" s="22">
        <v>0</v>
      </c>
      <c r="K71" s="22">
        <v>1</v>
      </c>
      <c r="L71" s="22">
        <v>0</v>
      </c>
      <c r="M71" s="22">
        <v>1</v>
      </c>
      <c r="N71" s="22">
        <v>0</v>
      </c>
      <c r="O71" s="22">
        <v>1</v>
      </c>
      <c r="P71" s="22">
        <v>1</v>
      </c>
      <c r="Q71" s="22">
        <v>1</v>
      </c>
      <c r="R71" s="22">
        <v>0</v>
      </c>
      <c r="S71" s="22">
        <v>1</v>
      </c>
      <c r="T71" s="22">
        <v>0</v>
      </c>
      <c r="U71" s="22">
        <v>0</v>
      </c>
      <c r="V71" s="22">
        <v>0</v>
      </c>
      <c r="W71" s="22">
        <v>0</v>
      </c>
      <c r="X71" s="23">
        <v>1</v>
      </c>
      <c r="Y71" s="23">
        <v>1</v>
      </c>
      <c r="Z71" s="23">
        <v>0</v>
      </c>
      <c r="AA71" s="23">
        <v>1</v>
      </c>
      <c r="AB71" s="22">
        <v>2</v>
      </c>
      <c r="AC71" s="22">
        <v>0</v>
      </c>
      <c r="AD71" s="22">
        <v>0</v>
      </c>
      <c r="AE71" s="22">
        <v>2</v>
      </c>
      <c r="AF71" s="22">
        <v>1</v>
      </c>
      <c r="AG71" s="22">
        <v>1</v>
      </c>
      <c r="AH71" s="22">
        <v>0</v>
      </c>
      <c r="AI71" s="22">
        <v>1</v>
      </c>
      <c r="AJ71" s="22">
        <v>0</v>
      </c>
      <c r="AK71" s="22">
        <v>0</v>
      </c>
      <c r="AL71" s="22">
        <v>0</v>
      </c>
      <c r="AM71" s="22">
        <v>0</v>
      </c>
      <c r="AN71" s="40">
        <f t="shared" si="0"/>
        <v>16</v>
      </c>
      <c r="AO71" s="25">
        <v>1</v>
      </c>
      <c r="AP71" s="26">
        <v>1</v>
      </c>
      <c r="AQ71" s="26">
        <v>1</v>
      </c>
      <c r="AR71" s="26">
        <v>0</v>
      </c>
      <c r="AS71" s="26">
        <v>0</v>
      </c>
      <c r="AT71" s="26">
        <v>0</v>
      </c>
      <c r="AU71" s="26">
        <v>0</v>
      </c>
      <c r="AV71" s="26">
        <v>1</v>
      </c>
      <c r="AW71" s="26">
        <v>1</v>
      </c>
      <c r="AX71" s="26">
        <v>0</v>
      </c>
      <c r="AY71" s="26">
        <v>2</v>
      </c>
      <c r="AZ71" s="26">
        <v>1</v>
      </c>
      <c r="BA71" s="26">
        <v>3</v>
      </c>
      <c r="BB71" s="26">
        <v>2</v>
      </c>
      <c r="BC71" s="26">
        <v>0</v>
      </c>
      <c r="BD71" s="26">
        <v>1</v>
      </c>
      <c r="BE71" s="26">
        <v>1</v>
      </c>
      <c r="BF71" s="26">
        <v>0</v>
      </c>
      <c r="BG71" s="26">
        <v>1</v>
      </c>
      <c r="BH71" s="26">
        <v>1</v>
      </c>
      <c r="BI71" s="26">
        <v>0</v>
      </c>
      <c r="BJ71" s="26">
        <v>0</v>
      </c>
      <c r="BK71" s="26">
        <v>0</v>
      </c>
      <c r="BL71" s="26">
        <v>1</v>
      </c>
      <c r="BM71" s="26">
        <v>0</v>
      </c>
      <c r="BN71" s="26">
        <v>0</v>
      </c>
      <c r="BO71" s="26">
        <v>0</v>
      </c>
      <c r="BP71" s="26">
        <v>0</v>
      </c>
      <c r="BQ71" s="26">
        <v>1</v>
      </c>
      <c r="BR71" s="26">
        <v>0</v>
      </c>
      <c r="BS71" s="26">
        <v>1</v>
      </c>
      <c r="BT71" s="26" t="s">
        <v>172</v>
      </c>
      <c r="BU71" s="26">
        <v>0</v>
      </c>
      <c r="BV71" s="26">
        <v>0</v>
      </c>
      <c r="BW71" s="26">
        <v>0</v>
      </c>
      <c r="BX71" s="26">
        <v>0</v>
      </c>
      <c r="BY71" s="26">
        <v>0</v>
      </c>
      <c r="BZ71" s="26">
        <v>0</v>
      </c>
      <c r="CA71" s="26">
        <v>2</v>
      </c>
      <c r="CB71" s="26">
        <v>0</v>
      </c>
      <c r="CC71" s="26">
        <v>0</v>
      </c>
      <c r="CD71" s="26">
        <v>0</v>
      </c>
      <c r="CE71" s="63">
        <f t="shared" si="1"/>
        <v>22</v>
      </c>
      <c r="CF71" s="63">
        <f t="shared" si="2"/>
        <v>38</v>
      </c>
      <c r="CG71" s="64">
        <f t="shared" si="3"/>
        <v>16.285714285714285</v>
      </c>
      <c r="CH71" s="114">
        <v>2</v>
      </c>
      <c r="CI71" s="115">
        <f t="shared" si="4"/>
        <v>18.285714285714285</v>
      </c>
    </row>
    <row r="72" spans="1:87" ht="15" customHeight="1">
      <c r="A72" s="20">
        <v>50</v>
      </c>
      <c r="B72" s="122" t="s">
        <v>130</v>
      </c>
      <c r="C72" s="106" t="s">
        <v>168</v>
      </c>
      <c r="D72" s="109" t="s">
        <v>170</v>
      </c>
      <c r="E72" s="110"/>
      <c r="F72" s="21">
        <v>0</v>
      </c>
      <c r="G72" s="22">
        <v>0</v>
      </c>
      <c r="H72" s="22">
        <v>0</v>
      </c>
      <c r="I72" s="22">
        <v>1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1</v>
      </c>
      <c r="R72" s="22">
        <v>0</v>
      </c>
      <c r="S72" s="22">
        <v>0</v>
      </c>
      <c r="T72" s="22" t="s">
        <v>172</v>
      </c>
      <c r="U72" s="22">
        <v>0</v>
      </c>
      <c r="V72" s="22">
        <v>0</v>
      </c>
      <c r="W72" s="22">
        <v>0</v>
      </c>
      <c r="X72" s="23">
        <v>1</v>
      </c>
      <c r="Y72" s="23">
        <v>0</v>
      </c>
      <c r="Z72" s="23">
        <v>0</v>
      </c>
      <c r="AA72" s="23">
        <v>0</v>
      </c>
      <c r="AB72" s="22">
        <v>0</v>
      </c>
      <c r="AC72" s="22">
        <v>0</v>
      </c>
      <c r="AD72" s="22">
        <v>0</v>
      </c>
      <c r="AE72" s="22">
        <v>1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40">
        <f t="shared" si="0"/>
        <v>4</v>
      </c>
      <c r="AO72" s="25">
        <v>1</v>
      </c>
      <c r="AP72" s="26">
        <v>0</v>
      </c>
      <c r="AQ72" s="26">
        <v>0</v>
      </c>
      <c r="AR72" s="26">
        <v>0</v>
      </c>
      <c r="AS72" s="26">
        <v>0</v>
      </c>
      <c r="AT72" s="26">
        <v>0</v>
      </c>
      <c r="AU72" s="26">
        <v>0</v>
      </c>
      <c r="AV72" s="26">
        <v>0</v>
      </c>
      <c r="AW72" s="26">
        <v>0</v>
      </c>
      <c r="AX72" s="26">
        <v>0</v>
      </c>
      <c r="AY72" s="26">
        <v>0</v>
      </c>
      <c r="AZ72" s="26">
        <v>1</v>
      </c>
      <c r="BA72" s="26">
        <v>0</v>
      </c>
      <c r="BB72" s="26">
        <v>2</v>
      </c>
      <c r="BC72" s="26">
        <v>0</v>
      </c>
      <c r="BD72" s="26">
        <v>0</v>
      </c>
      <c r="BE72" s="26">
        <v>0</v>
      </c>
      <c r="BF72" s="26">
        <v>1</v>
      </c>
      <c r="BG72" s="26">
        <v>1</v>
      </c>
      <c r="BH72" s="26">
        <v>3</v>
      </c>
      <c r="BI72" s="26">
        <v>0</v>
      </c>
      <c r="BJ72" s="26">
        <v>0</v>
      </c>
      <c r="BK72" s="26">
        <v>0</v>
      </c>
      <c r="BL72" s="26">
        <v>0</v>
      </c>
      <c r="BM72" s="26">
        <v>0</v>
      </c>
      <c r="BN72" s="26">
        <v>0</v>
      </c>
      <c r="BO72" s="26">
        <v>0</v>
      </c>
      <c r="BP72" s="26">
        <v>0</v>
      </c>
      <c r="BQ72" s="26" t="s">
        <v>172</v>
      </c>
      <c r="BR72" s="26">
        <v>0</v>
      </c>
      <c r="BS72" s="26" t="s">
        <v>172</v>
      </c>
      <c r="BT72" s="26" t="s">
        <v>172</v>
      </c>
      <c r="BU72" s="26">
        <v>1</v>
      </c>
      <c r="BV72" s="26">
        <v>0</v>
      </c>
      <c r="BW72" s="26">
        <v>0</v>
      </c>
      <c r="BX72" s="26" t="s">
        <v>172</v>
      </c>
      <c r="BY72" s="26">
        <v>0</v>
      </c>
      <c r="BZ72" s="26">
        <v>0</v>
      </c>
      <c r="CA72" s="26">
        <v>1</v>
      </c>
      <c r="CB72" s="26">
        <v>0</v>
      </c>
      <c r="CC72" s="26">
        <v>0</v>
      </c>
      <c r="CD72" s="26">
        <v>0</v>
      </c>
      <c r="CE72" s="63">
        <f t="shared" si="1"/>
        <v>11</v>
      </c>
      <c r="CF72" s="63">
        <f t="shared" si="2"/>
        <v>15</v>
      </c>
      <c r="CG72" s="64">
        <f t="shared" si="3"/>
        <v>6.4285714285714279</v>
      </c>
      <c r="CH72" s="114">
        <v>8</v>
      </c>
      <c r="CI72" s="115">
        <f t="shared" si="4"/>
        <v>14.428571428571427</v>
      </c>
    </row>
    <row r="73" spans="1:87" ht="15" customHeight="1">
      <c r="A73" s="20">
        <v>51</v>
      </c>
      <c r="B73" s="122" t="s">
        <v>131</v>
      </c>
      <c r="C73" s="106" t="s">
        <v>168</v>
      </c>
      <c r="D73" s="109" t="s">
        <v>170</v>
      </c>
      <c r="E73" s="110"/>
      <c r="F73" s="21">
        <v>0</v>
      </c>
      <c r="G73" s="22">
        <v>0</v>
      </c>
      <c r="H73" s="22">
        <v>0</v>
      </c>
      <c r="I73" s="22">
        <v>1</v>
      </c>
      <c r="J73" s="22">
        <v>1</v>
      </c>
      <c r="K73" s="22">
        <v>1</v>
      </c>
      <c r="L73" s="22">
        <v>2</v>
      </c>
      <c r="M73" s="22">
        <v>1</v>
      </c>
      <c r="N73" s="22">
        <v>1</v>
      </c>
      <c r="O73" s="22">
        <v>1</v>
      </c>
      <c r="P73" s="22">
        <v>1</v>
      </c>
      <c r="Q73" s="22">
        <v>1</v>
      </c>
      <c r="R73" s="22">
        <v>2</v>
      </c>
      <c r="S73" s="22">
        <v>0</v>
      </c>
      <c r="T73" s="22">
        <v>0</v>
      </c>
      <c r="U73" s="22">
        <v>0</v>
      </c>
      <c r="V73" s="22">
        <v>1</v>
      </c>
      <c r="W73" s="22">
        <v>0</v>
      </c>
      <c r="X73" s="23">
        <v>0</v>
      </c>
      <c r="Y73" s="23">
        <v>1</v>
      </c>
      <c r="Z73" s="23">
        <v>1</v>
      </c>
      <c r="AA73" s="23">
        <v>2</v>
      </c>
      <c r="AB73" s="22">
        <v>2</v>
      </c>
      <c r="AC73" s="22">
        <v>2</v>
      </c>
      <c r="AD73" s="22">
        <v>3</v>
      </c>
      <c r="AE73" s="22">
        <v>2</v>
      </c>
      <c r="AF73" s="22">
        <v>2</v>
      </c>
      <c r="AG73" s="22">
        <v>3</v>
      </c>
      <c r="AH73" s="22">
        <v>0</v>
      </c>
      <c r="AI73" s="22">
        <v>2</v>
      </c>
      <c r="AJ73" s="22">
        <v>1</v>
      </c>
      <c r="AK73" s="22">
        <v>2</v>
      </c>
      <c r="AL73" s="22">
        <v>0</v>
      </c>
      <c r="AM73" s="22">
        <v>0</v>
      </c>
      <c r="AN73" s="40">
        <f t="shared" si="0"/>
        <v>36</v>
      </c>
      <c r="AO73" s="25">
        <v>1</v>
      </c>
      <c r="AP73" s="26">
        <v>1</v>
      </c>
      <c r="AQ73" s="26">
        <v>0</v>
      </c>
      <c r="AR73" s="26">
        <v>0</v>
      </c>
      <c r="AS73" s="26">
        <v>2</v>
      </c>
      <c r="AT73" s="26">
        <v>2</v>
      </c>
      <c r="AU73" s="26">
        <v>0</v>
      </c>
      <c r="AV73" s="26">
        <v>0</v>
      </c>
      <c r="AW73" s="26">
        <v>0</v>
      </c>
      <c r="AX73" s="26">
        <v>0</v>
      </c>
      <c r="AY73" s="26">
        <v>2</v>
      </c>
      <c r="AZ73" s="26">
        <v>1</v>
      </c>
      <c r="BA73" s="26">
        <v>3</v>
      </c>
      <c r="BB73" s="26">
        <v>2</v>
      </c>
      <c r="BC73" s="26">
        <v>0</v>
      </c>
      <c r="BD73" s="26">
        <v>1</v>
      </c>
      <c r="BE73" s="26">
        <v>1</v>
      </c>
      <c r="BF73" s="26">
        <v>1</v>
      </c>
      <c r="BG73" s="26">
        <v>1</v>
      </c>
      <c r="BH73" s="26">
        <v>2</v>
      </c>
      <c r="BI73" s="26">
        <v>0</v>
      </c>
      <c r="BJ73" s="26">
        <v>0</v>
      </c>
      <c r="BK73" s="26">
        <v>0</v>
      </c>
      <c r="BL73" s="26">
        <v>1</v>
      </c>
      <c r="BM73" s="26">
        <v>0</v>
      </c>
      <c r="BN73" s="26">
        <v>0</v>
      </c>
      <c r="BO73" s="26" t="s">
        <v>172</v>
      </c>
      <c r="BP73" s="26">
        <v>1</v>
      </c>
      <c r="BQ73" s="26">
        <v>3</v>
      </c>
      <c r="BR73" s="26">
        <v>0</v>
      </c>
      <c r="BS73" s="26">
        <v>2</v>
      </c>
      <c r="BT73" s="26">
        <v>2</v>
      </c>
      <c r="BU73" s="26">
        <v>2</v>
      </c>
      <c r="BV73" s="26">
        <v>0</v>
      </c>
      <c r="BW73" s="26">
        <v>0</v>
      </c>
      <c r="BX73" s="26">
        <v>0</v>
      </c>
      <c r="BY73" s="26">
        <v>2</v>
      </c>
      <c r="BZ73" s="26">
        <v>0</v>
      </c>
      <c r="CA73" s="26">
        <v>2</v>
      </c>
      <c r="CB73" s="26">
        <v>0</v>
      </c>
      <c r="CC73" s="26">
        <v>0</v>
      </c>
      <c r="CD73" s="26">
        <v>0</v>
      </c>
      <c r="CE73" s="63">
        <f t="shared" si="1"/>
        <v>35</v>
      </c>
      <c r="CF73" s="63">
        <f t="shared" si="2"/>
        <v>71</v>
      </c>
      <c r="CG73" s="64">
        <f t="shared" si="3"/>
        <v>30.428571428571427</v>
      </c>
      <c r="CH73" s="114">
        <v>19</v>
      </c>
      <c r="CI73" s="115">
        <f t="shared" si="4"/>
        <v>49.428571428571431</v>
      </c>
    </row>
    <row r="74" spans="1:87" ht="15" customHeight="1">
      <c r="A74" s="20">
        <v>52</v>
      </c>
      <c r="B74" s="122" t="s">
        <v>132</v>
      </c>
      <c r="C74" s="106" t="s">
        <v>168</v>
      </c>
      <c r="D74" s="109" t="s">
        <v>170</v>
      </c>
      <c r="E74" s="110"/>
      <c r="F74" s="21">
        <v>0</v>
      </c>
      <c r="G74" s="22">
        <v>0</v>
      </c>
      <c r="H74" s="22">
        <v>0</v>
      </c>
      <c r="I74" s="22">
        <v>1</v>
      </c>
      <c r="J74" s="22">
        <v>0</v>
      </c>
      <c r="K74" s="22">
        <v>1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1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3">
        <v>0</v>
      </c>
      <c r="Y74" s="23">
        <v>0</v>
      </c>
      <c r="Z74" s="23">
        <v>0</v>
      </c>
      <c r="AA74" s="23">
        <v>1</v>
      </c>
      <c r="AB74" s="22">
        <v>2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40">
        <f t="shared" si="0"/>
        <v>6</v>
      </c>
      <c r="AO74" s="25">
        <v>1</v>
      </c>
      <c r="AP74" s="26">
        <v>0</v>
      </c>
      <c r="AQ74" s="26">
        <v>0</v>
      </c>
      <c r="AR74" s="26">
        <v>0</v>
      </c>
      <c r="AS74" s="26">
        <v>0</v>
      </c>
      <c r="AT74" s="26">
        <v>0</v>
      </c>
      <c r="AU74" s="26">
        <v>0</v>
      </c>
      <c r="AV74" s="26">
        <v>0</v>
      </c>
      <c r="AW74" s="26">
        <v>0</v>
      </c>
      <c r="AX74" s="26">
        <v>0</v>
      </c>
      <c r="AY74" s="26">
        <v>2</v>
      </c>
      <c r="AZ74" s="26">
        <v>0</v>
      </c>
      <c r="BA74" s="26">
        <v>0</v>
      </c>
      <c r="BB74" s="26">
        <v>2</v>
      </c>
      <c r="BC74" s="26">
        <v>2</v>
      </c>
      <c r="BD74" s="26">
        <v>0</v>
      </c>
      <c r="BE74" s="26">
        <v>1</v>
      </c>
      <c r="BF74" s="26">
        <v>0</v>
      </c>
      <c r="BG74" s="26">
        <v>1</v>
      </c>
      <c r="BH74" s="26">
        <v>0</v>
      </c>
      <c r="BI74" s="26">
        <v>0</v>
      </c>
      <c r="BJ74" s="26">
        <v>0</v>
      </c>
      <c r="BK74" s="26">
        <v>0</v>
      </c>
      <c r="BL74" s="26">
        <v>0</v>
      </c>
      <c r="BM74" s="26">
        <v>0</v>
      </c>
      <c r="BN74" s="26">
        <v>0</v>
      </c>
      <c r="BO74" s="26">
        <v>0</v>
      </c>
      <c r="BP74" s="26">
        <v>0</v>
      </c>
      <c r="BQ74" s="26" t="s">
        <v>172</v>
      </c>
      <c r="BR74" s="26">
        <v>0</v>
      </c>
      <c r="BS74" s="26">
        <v>0</v>
      </c>
      <c r="BT74" s="26">
        <v>0</v>
      </c>
      <c r="BU74" s="26">
        <v>1</v>
      </c>
      <c r="BV74" s="26">
        <v>1</v>
      </c>
      <c r="BW74" s="26">
        <v>2</v>
      </c>
      <c r="BX74" s="26">
        <v>0</v>
      </c>
      <c r="BY74" s="26">
        <v>0</v>
      </c>
      <c r="BZ74" s="26">
        <v>0</v>
      </c>
      <c r="CA74" s="26">
        <v>2</v>
      </c>
      <c r="CB74" s="26">
        <v>0</v>
      </c>
      <c r="CC74" s="26">
        <v>0</v>
      </c>
      <c r="CD74" s="26">
        <v>0</v>
      </c>
      <c r="CE74" s="63">
        <f t="shared" si="1"/>
        <v>15</v>
      </c>
      <c r="CF74" s="63">
        <f t="shared" si="2"/>
        <v>21</v>
      </c>
      <c r="CG74" s="64">
        <f t="shared" si="3"/>
        <v>9</v>
      </c>
      <c r="CH74" s="114">
        <v>7</v>
      </c>
      <c r="CI74" s="115">
        <f t="shared" si="4"/>
        <v>16</v>
      </c>
    </row>
    <row r="75" spans="1:87" ht="15" customHeight="1">
      <c r="A75" s="20">
        <v>53</v>
      </c>
      <c r="B75" s="122" t="s">
        <v>133</v>
      </c>
      <c r="C75" s="106" t="s">
        <v>168</v>
      </c>
      <c r="D75" s="109" t="s">
        <v>170</v>
      </c>
      <c r="E75" s="110"/>
      <c r="F75" s="21">
        <v>0</v>
      </c>
      <c r="G75" s="22">
        <v>0</v>
      </c>
      <c r="H75" s="22">
        <v>0</v>
      </c>
      <c r="I75" s="22">
        <v>1</v>
      </c>
      <c r="J75" s="22">
        <v>0</v>
      </c>
      <c r="K75" s="22">
        <v>0</v>
      </c>
      <c r="L75" s="22">
        <v>0</v>
      </c>
      <c r="M75" s="22">
        <v>1</v>
      </c>
      <c r="N75" s="22">
        <v>0</v>
      </c>
      <c r="O75" s="22">
        <v>0</v>
      </c>
      <c r="P75" s="22">
        <v>0</v>
      </c>
      <c r="Q75" s="22">
        <v>1</v>
      </c>
      <c r="R75" s="22">
        <v>0</v>
      </c>
      <c r="S75" s="22">
        <v>0</v>
      </c>
      <c r="T75" s="22">
        <v>1</v>
      </c>
      <c r="U75" s="22">
        <v>0</v>
      </c>
      <c r="V75" s="22">
        <v>0</v>
      </c>
      <c r="W75" s="22">
        <v>0</v>
      </c>
      <c r="X75" s="23">
        <v>0</v>
      </c>
      <c r="Y75" s="23">
        <v>1</v>
      </c>
      <c r="Z75" s="23">
        <v>0</v>
      </c>
      <c r="AA75" s="23">
        <v>2</v>
      </c>
      <c r="AB75" s="22">
        <v>2</v>
      </c>
      <c r="AC75" s="22">
        <v>0</v>
      </c>
      <c r="AD75" s="22">
        <v>1</v>
      </c>
      <c r="AE75" s="22">
        <v>2</v>
      </c>
      <c r="AF75" s="22">
        <v>2</v>
      </c>
      <c r="AG75" s="22">
        <v>0</v>
      </c>
      <c r="AH75" s="22">
        <v>0</v>
      </c>
      <c r="AI75" s="22">
        <v>1</v>
      </c>
      <c r="AJ75" s="22">
        <v>1</v>
      </c>
      <c r="AK75" s="22">
        <v>2</v>
      </c>
      <c r="AL75" s="22">
        <v>0</v>
      </c>
      <c r="AM75" s="22">
        <v>0</v>
      </c>
      <c r="AN75" s="40">
        <f t="shared" si="0"/>
        <v>18</v>
      </c>
      <c r="AO75" s="25">
        <v>1</v>
      </c>
      <c r="AP75" s="26">
        <v>1</v>
      </c>
      <c r="AQ75" s="26">
        <v>0</v>
      </c>
      <c r="AR75" s="26" t="s">
        <v>172</v>
      </c>
      <c r="AS75" s="26">
        <v>2</v>
      </c>
      <c r="AT75" s="26">
        <v>2</v>
      </c>
      <c r="AU75" s="26">
        <v>0</v>
      </c>
      <c r="AV75" s="26" t="s">
        <v>172</v>
      </c>
      <c r="AW75" s="26">
        <v>0</v>
      </c>
      <c r="AX75" s="26">
        <v>0</v>
      </c>
      <c r="AY75" s="26">
        <v>2</v>
      </c>
      <c r="AZ75" s="26">
        <v>1</v>
      </c>
      <c r="BA75" s="26">
        <v>3</v>
      </c>
      <c r="BB75" s="26">
        <v>2</v>
      </c>
      <c r="BC75" s="26">
        <v>0</v>
      </c>
      <c r="BD75" s="26">
        <v>1</v>
      </c>
      <c r="BE75" s="26">
        <v>0</v>
      </c>
      <c r="BF75" s="26">
        <v>0</v>
      </c>
      <c r="BG75" s="26">
        <v>1</v>
      </c>
      <c r="BH75" s="26">
        <v>2</v>
      </c>
      <c r="BI75" s="26">
        <v>0</v>
      </c>
      <c r="BJ75" s="26" t="s">
        <v>172</v>
      </c>
      <c r="BK75" s="26">
        <v>0</v>
      </c>
      <c r="BL75" s="26">
        <v>0</v>
      </c>
      <c r="BM75" s="26">
        <v>0</v>
      </c>
      <c r="BN75" s="26">
        <v>0</v>
      </c>
      <c r="BO75" s="26">
        <v>1</v>
      </c>
      <c r="BP75" s="26">
        <v>0</v>
      </c>
      <c r="BQ75" s="26">
        <v>0</v>
      </c>
      <c r="BR75" s="26">
        <v>0</v>
      </c>
      <c r="BS75" s="26">
        <v>0</v>
      </c>
      <c r="BT75" s="26">
        <v>1</v>
      </c>
      <c r="BU75" s="26">
        <v>2</v>
      </c>
      <c r="BV75" s="26">
        <v>1</v>
      </c>
      <c r="BW75" s="26">
        <v>2</v>
      </c>
      <c r="BX75" s="26">
        <v>0</v>
      </c>
      <c r="BY75" s="26">
        <v>2</v>
      </c>
      <c r="BZ75" s="26" t="s">
        <v>172</v>
      </c>
      <c r="CA75" s="26">
        <v>2</v>
      </c>
      <c r="CB75" s="26">
        <v>0</v>
      </c>
      <c r="CC75" s="26">
        <v>0</v>
      </c>
      <c r="CD75" s="26">
        <v>0</v>
      </c>
      <c r="CE75" s="63">
        <f t="shared" si="1"/>
        <v>29</v>
      </c>
      <c r="CF75" s="63">
        <f t="shared" si="2"/>
        <v>47</v>
      </c>
      <c r="CG75" s="64">
        <f t="shared" si="3"/>
        <v>20.142857142857142</v>
      </c>
      <c r="CH75" s="114">
        <v>13</v>
      </c>
      <c r="CI75" s="115">
        <f t="shared" si="4"/>
        <v>33.142857142857139</v>
      </c>
    </row>
    <row r="76" spans="1:87" ht="15.75" customHeight="1">
      <c r="A76" s="20">
        <v>54</v>
      </c>
      <c r="B76" s="122" t="s">
        <v>134</v>
      </c>
      <c r="C76" s="106" t="s">
        <v>168</v>
      </c>
      <c r="D76" s="109" t="s">
        <v>170</v>
      </c>
      <c r="E76" s="110"/>
      <c r="F76" s="21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1</v>
      </c>
      <c r="T76" s="22">
        <v>0</v>
      </c>
      <c r="U76" s="22">
        <v>0</v>
      </c>
      <c r="V76" s="22">
        <v>0</v>
      </c>
      <c r="W76" s="22">
        <v>0</v>
      </c>
      <c r="X76" s="23">
        <v>2</v>
      </c>
      <c r="Y76" s="23">
        <v>0</v>
      </c>
      <c r="Z76" s="23">
        <v>0</v>
      </c>
      <c r="AA76" s="23">
        <v>1</v>
      </c>
      <c r="AB76" s="22">
        <v>0</v>
      </c>
      <c r="AC76" s="22">
        <v>0</v>
      </c>
      <c r="AD76" s="22">
        <v>2</v>
      </c>
      <c r="AE76" s="22">
        <v>1</v>
      </c>
      <c r="AF76" s="22">
        <v>0</v>
      </c>
      <c r="AG76" s="22">
        <v>0</v>
      </c>
      <c r="AH76" s="22">
        <v>0</v>
      </c>
      <c r="AI76" s="22">
        <v>1</v>
      </c>
      <c r="AJ76" s="22">
        <v>0</v>
      </c>
      <c r="AK76" s="22">
        <v>0</v>
      </c>
      <c r="AL76" s="22">
        <v>0</v>
      </c>
      <c r="AM76" s="22">
        <v>0</v>
      </c>
      <c r="AN76" s="40">
        <f t="shared" si="0"/>
        <v>8</v>
      </c>
      <c r="AO76" s="25">
        <v>1</v>
      </c>
      <c r="AP76" s="26">
        <v>0</v>
      </c>
      <c r="AQ76" s="26">
        <v>0</v>
      </c>
      <c r="AR76" s="26">
        <v>0</v>
      </c>
      <c r="AS76" s="26">
        <v>0</v>
      </c>
      <c r="AT76" s="26">
        <v>0</v>
      </c>
      <c r="AU76" s="26">
        <v>0</v>
      </c>
      <c r="AV76" s="26">
        <v>0</v>
      </c>
      <c r="AW76" s="26">
        <v>1</v>
      </c>
      <c r="AX76" s="26">
        <v>0</v>
      </c>
      <c r="AY76" s="26">
        <v>0</v>
      </c>
      <c r="AZ76" s="26">
        <v>0</v>
      </c>
      <c r="BA76" s="26">
        <v>0</v>
      </c>
      <c r="BB76" s="26">
        <v>2</v>
      </c>
      <c r="BC76" s="26">
        <v>0</v>
      </c>
      <c r="BD76" s="26">
        <v>0</v>
      </c>
      <c r="BE76" s="26">
        <v>0</v>
      </c>
      <c r="BF76" s="26">
        <v>0</v>
      </c>
      <c r="BG76" s="26">
        <v>1</v>
      </c>
      <c r="BH76" s="26">
        <v>0</v>
      </c>
      <c r="BI76" s="26">
        <v>0</v>
      </c>
      <c r="BJ76" s="26">
        <v>0</v>
      </c>
      <c r="BK76" s="26">
        <v>0</v>
      </c>
      <c r="BL76" s="26">
        <v>0</v>
      </c>
      <c r="BM76" s="26">
        <v>0</v>
      </c>
      <c r="BN76" s="26">
        <v>0</v>
      </c>
      <c r="BO76" s="26">
        <v>0</v>
      </c>
      <c r="BP76" s="26">
        <v>0</v>
      </c>
      <c r="BQ76" s="26" t="s">
        <v>172</v>
      </c>
      <c r="BR76" s="26">
        <v>0</v>
      </c>
      <c r="BS76" s="26">
        <v>1</v>
      </c>
      <c r="BT76" s="26" t="s">
        <v>172</v>
      </c>
      <c r="BU76" s="26">
        <v>0</v>
      </c>
      <c r="BV76" s="26">
        <v>0</v>
      </c>
      <c r="BW76" s="26">
        <v>0</v>
      </c>
      <c r="BX76" s="26">
        <v>0</v>
      </c>
      <c r="BY76" s="26" t="s">
        <v>172</v>
      </c>
      <c r="BZ76" s="26" t="s">
        <v>172</v>
      </c>
      <c r="CA76" s="26">
        <v>1</v>
      </c>
      <c r="CB76" s="26">
        <v>0</v>
      </c>
      <c r="CC76" s="26">
        <v>0</v>
      </c>
      <c r="CD76" s="26">
        <v>0</v>
      </c>
      <c r="CE76" s="63">
        <f t="shared" si="1"/>
        <v>7</v>
      </c>
      <c r="CF76" s="63">
        <f t="shared" si="2"/>
        <v>15</v>
      </c>
      <c r="CG76" s="64">
        <f t="shared" si="3"/>
        <v>6.4285714285714279</v>
      </c>
      <c r="CH76" s="114">
        <v>7</v>
      </c>
      <c r="CI76" s="115">
        <f t="shared" si="4"/>
        <v>13.428571428571427</v>
      </c>
    </row>
    <row r="77" spans="1:87" ht="15" customHeight="1">
      <c r="A77" s="20">
        <v>55</v>
      </c>
      <c r="B77" s="122" t="s">
        <v>135</v>
      </c>
      <c r="C77" s="106" t="s">
        <v>168</v>
      </c>
      <c r="D77" s="109" t="s">
        <v>170</v>
      </c>
      <c r="E77" s="110"/>
      <c r="F77" s="21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3">
        <v>0</v>
      </c>
      <c r="Y77" s="23">
        <v>1</v>
      </c>
      <c r="Z77" s="23">
        <v>1</v>
      </c>
      <c r="AA77" s="23">
        <v>1</v>
      </c>
      <c r="AB77" s="22">
        <v>2</v>
      </c>
      <c r="AC77" s="22">
        <v>0</v>
      </c>
      <c r="AD77" s="22">
        <v>0</v>
      </c>
      <c r="AE77" s="22">
        <v>0</v>
      </c>
      <c r="AF77" s="22">
        <v>0</v>
      </c>
      <c r="AG77" s="22">
        <v>1</v>
      </c>
      <c r="AH77" s="22">
        <v>0</v>
      </c>
      <c r="AI77" s="22">
        <v>2</v>
      </c>
      <c r="AJ77" s="22">
        <v>1</v>
      </c>
      <c r="AK77" s="22">
        <v>0</v>
      </c>
      <c r="AL77" s="22">
        <v>0</v>
      </c>
      <c r="AM77" s="22">
        <v>0</v>
      </c>
      <c r="AN77" s="40">
        <f t="shared" si="0"/>
        <v>9</v>
      </c>
      <c r="AO77" s="25">
        <v>1</v>
      </c>
      <c r="AP77" s="26">
        <v>0</v>
      </c>
      <c r="AQ77" s="26">
        <v>0</v>
      </c>
      <c r="AR77" s="26">
        <v>0</v>
      </c>
      <c r="AS77" s="26">
        <v>0</v>
      </c>
      <c r="AT77" s="26">
        <v>0</v>
      </c>
      <c r="AU77" s="26">
        <v>0</v>
      </c>
      <c r="AV77" s="26">
        <v>0</v>
      </c>
      <c r="AW77" s="26">
        <v>0</v>
      </c>
      <c r="AX77" s="26">
        <v>0</v>
      </c>
      <c r="AY77" s="26">
        <v>0</v>
      </c>
      <c r="AZ77" s="26">
        <v>1</v>
      </c>
      <c r="BA77" s="26">
        <v>0</v>
      </c>
      <c r="BB77" s="26">
        <v>2</v>
      </c>
      <c r="BC77" s="26">
        <v>2</v>
      </c>
      <c r="BD77" s="26">
        <v>0</v>
      </c>
      <c r="BE77" s="26">
        <v>0</v>
      </c>
      <c r="BF77" s="26">
        <v>0</v>
      </c>
      <c r="BG77" s="26">
        <v>1</v>
      </c>
      <c r="BH77" s="26" t="s">
        <v>172</v>
      </c>
      <c r="BI77" s="26">
        <v>0</v>
      </c>
      <c r="BJ77" s="26">
        <v>0</v>
      </c>
      <c r="BK77" s="26">
        <v>0</v>
      </c>
      <c r="BL77" s="26">
        <v>0</v>
      </c>
      <c r="BM77" s="26">
        <v>0</v>
      </c>
      <c r="BN77" s="26">
        <v>0</v>
      </c>
      <c r="BO77" s="26">
        <v>0</v>
      </c>
      <c r="BP77" s="26">
        <v>0</v>
      </c>
      <c r="BQ77" s="26" t="s">
        <v>172</v>
      </c>
      <c r="BR77" s="26">
        <v>0</v>
      </c>
      <c r="BS77" s="26">
        <v>0</v>
      </c>
      <c r="BT77" s="26" t="s">
        <v>172</v>
      </c>
      <c r="BU77" s="26">
        <v>1</v>
      </c>
      <c r="BV77" s="26">
        <v>0</v>
      </c>
      <c r="BW77" s="26">
        <v>2</v>
      </c>
      <c r="BX77" s="26">
        <v>0</v>
      </c>
      <c r="BY77" s="26" t="s">
        <v>172</v>
      </c>
      <c r="BZ77" s="26" t="s">
        <v>172</v>
      </c>
      <c r="CA77" s="26">
        <v>2</v>
      </c>
      <c r="CB77" s="26">
        <v>0</v>
      </c>
      <c r="CC77" s="26">
        <v>0</v>
      </c>
      <c r="CD77" s="26">
        <v>0</v>
      </c>
      <c r="CE77" s="63">
        <f t="shared" si="1"/>
        <v>12</v>
      </c>
      <c r="CF77" s="63">
        <f t="shared" si="2"/>
        <v>21</v>
      </c>
      <c r="CG77" s="64">
        <f t="shared" si="3"/>
        <v>9</v>
      </c>
      <c r="CH77" s="114">
        <v>8</v>
      </c>
      <c r="CI77" s="115">
        <f t="shared" si="4"/>
        <v>17</v>
      </c>
    </row>
    <row r="78" spans="1:87" ht="15" customHeight="1">
      <c r="A78" s="20">
        <v>56</v>
      </c>
      <c r="B78" s="122" t="s">
        <v>136</v>
      </c>
      <c r="C78" s="106" t="s">
        <v>168</v>
      </c>
      <c r="D78" s="109" t="s">
        <v>171</v>
      </c>
      <c r="E78" s="110"/>
      <c r="F78" s="21">
        <v>0</v>
      </c>
      <c r="G78" s="22">
        <v>0</v>
      </c>
      <c r="H78" s="22">
        <v>0</v>
      </c>
      <c r="I78" s="22">
        <v>1</v>
      </c>
      <c r="J78" s="22">
        <v>0</v>
      </c>
      <c r="K78" s="22">
        <v>0</v>
      </c>
      <c r="L78" s="22" t="s">
        <v>172</v>
      </c>
      <c r="M78" s="22">
        <v>1</v>
      </c>
      <c r="N78" s="22">
        <v>0</v>
      </c>
      <c r="O78" s="22">
        <v>0</v>
      </c>
      <c r="P78" s="22">
        <v>0</v>
      </c>
      <c r="Q78" s="22">
        <v>1</v>
      </c>
      <c r="R78" s="22">
        <v>1</v>
      </c>
      <c r="S78" s="22">
        <v>0</v>
      </c>
      <c r="T78" s="22" t="s">
        <v>172</v>
      </c>
      <c r="U78" s="22">
        <v>0</v>
      </c>
      <c r="V78" s="22">
        <v>0</v>
      </c>
      <c r="W78" s="22">
        <v>0</v>
      </c>
      <c r="X78" s="23">
        <v>2</v>
      </c>
      <c r="Y78" s="23" t="s">
        <v>172</v>
      </c>
      <c r="Z78" s="23">
        <v>0</v>
      </c>
      <c r="AA78" s="23">
        <v>0</v>
      </c>
      <c r="AB78" s="22" t="s">
        <v>172</v>
      </c>
      <c r="AC78" s="22">
        <v>0</v>
      </c>
      <c r="AD78" s="22">
        <v>1</v>
      </c>
      <c r="AE78" s="22">
        <v>2</v>
      </c>
      <c r="AF78" s="22">
        <v>0</v>
      </c>
      <c r="AG78" s="22" t="s">
        <v>172</v>
      </c>
      <c r="AH78" s="22" t="s">
        <v>172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40">
        <f t="shared" si="0"/>
        <v>9</v>
      </c>
      <c r="AO78" s="25">
        <v>1</v>
      </c>
      <c r="AP78" s="26">
        <v>0</v>
      </c>
      <c r="AQ78" s="26">
        <v>0</v>
      </c>
      <c r="AR78" s="26" t="s">
        <v>172</v>
      </c>
      <c r="AS78" s="26">
        <v>0</v>
      </c>
      <c r="AT78" s="26">
        <v>0</v>
      </c>
      <c r="AU78" s="26">
        <v>0</v>
      </c>
      <c r="AV78" s="26" t="s">
        <v>172</v>
      </c>
      <c r="AW78" s="26">
        <v>0</v>
      </c>
      <c r="AX78" s="26">
        <v>0</v>
      </c>
      <c r="AY78" s="26">
        <v>0</v>
      </c>
      <c r="AZ78" s="26">
        <v>0</v>
      </c>
      <c r="BA78" s="26" t="s">
        <v>172</v>
      </c>
      <c r="BB78" s="26">
        <v>2</v>
      </c>
      <c r="BC78" s="26">
        <v>0</v>
      </c>
      <c r="BD78" s="26">
        <v>0</v>
      </c>
      <c r="BE78" s="26">
        <v>0</v>
      </c>
      <c r="BF78" s="26">
        <v>0</v>
      </c>
      <c r="BG78" s="26">
        <v>1</v>
      </c>
      <c r="BH78" s="26">
        <v>1</v>
      </c>
      <c r="BI78" s="26">
        <v>0</v>
      </c>
      <c r="BJ78" s="26" t="s">
        <v>172</v>
      </c>
      <c r="BK78" s="26" t="s">
        <v>172</v>
      </c>
      <c r="BL78" s="26">
        <v>1</v>
      </c>
      <c r="BM78" s="26">
        <v>0</v>
      </c>
      <c r="BN78" s="26">
        <v>0</v>
      </c>
      <c r="BO78" s="26">
        <v>0</v>
      </c>
      <c r="BP78" s="26" t="s">
        <v>172</v>
      </c>
      <c r="BQ78" s="26" t="s">
        <v>172</v>
      </c>
      <c r="BR78" s="26" t="s">
        <v>172</v>
      </c>
      <c r="BS78" s="26">
        <v>0</v>
      </c>
      <c r="BT78" s="26">
        <v>0</v>
      </c>
      <c r="BU78" s="26">
        <v>1</v>
      </c>
      <c r="BV78" s="26" t="s">
        <v>172</v>
      </c>
      <c r="BW78" s="26">
        <v>1</v>
      </c>
      <c r="BX78" s="26" t="s">
        <v>172</v>
      </c>
      <c r="BY78" s="26">
        <v>0</v>
      </c>
      <c r="BZ78" s="26">
        <v>0</v>
      </c>
      <c r="CA78" s="26">
        <v>2</v>
      </c>
      <c r="CB78" s="26">
        <v>0</v>
      </c>
      <c r="CC78" s="26" t="s">
        <v>172</v>
      </c>
      <c r="CD78" s="26" t="s">
        <v>172</v>
      </c>
      <c r="CE78" s="63">
        <f t="shared" si="1"/>
        <v>10</v>
      </c>
      <c r="CF78" s="63">
        <f t="shared" si="2"/>
        <v>19</v>
      </c>
      <c r="CG78" s="64">
        <f t="shared" si="3"/>
        <v>8.1428571428571423</v>
      </c>
      <c r="CH78" s="114">
        <v>8</v>
      </c>
      <c r="CI78" s="115">
        <f t="shared" si="4"/>
        <v>16.142857142857142</v>
      </c>
    </row>
    <row r="79" spans="1:87" ht="15" customHeight="1">
      <c r="A79" s="20">
        <v>57</v>
      </c>
      <c r="B79" s="122" t="s">
        <v>137</v>
      </c>
      <c r="C79" s="106" t="s">
        <v>168</v>
      </c>
      <c r="D79" s="109" t="s">
        <v>171</v>
      </c>
      <c r="E79" s="110"/>
      <c r="F79" s="21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1</v>
      </c>
      <c r="M79" s="22">
        <v>0</v>
      </c>
      <c r="N79" s="22">
        <v>1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1</v>
      </c>
      <c r="U79" s="22">
        <v>0</v>
      </c>
      <c r="V79" s="22">
        <v>0</v>
      </c>
      <c r="W79" s="22">
        <v>0</v>
      </c>
      <c r="X79" s="23">
        <v>0</v>
      </c>
      <c r="Y79" s="23">
        <v>0</v>
      </c>
      <c r="Z79" s="23">
        <v>0</v>
      </c>
      <c r="AA79" s="23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1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40">
        <f t="shared" si="0"/>
        <v>4</v>
      </c>
      <c r="AO79" s="25">
        <v>0</v>
      </c>
      <c r="AP79" s="26">
        <v>1</v>
      </c>
      <c r="AQ79" s="26">
        <v>0</v>
      </c>
      <c r="AR79" s="26">
        <v>0</v>
      </c>
      <c r="AS79" s="26">
        <v>0</v>
      </c>
      <c r="AT79" s="26">
        <v>0</v>
      </c>
      <c r="AU79" s="26">
        <v>0</v>
      </c>
      <c r="AV79" s="26">
        <v>0</v>
      </c>
      <c r="AW79" s="26">
        <v>0</v>
      </c>
      <c r="AX79" s="26">
        <v>0</v>
      </c>
      <c r="AY79" s="26">
        <v>0</v>
      </c>
      <c r="AZ79" s="26">
        <v>0</v>
      </c>
      <c r="BA79" s="26">
        <v>0</v>
      </c>
      <c r="BB79" s="26">
        <v>1</v>
      </c>
      <c r="BC79" s="26">
        <v>0</v>
      </c>
      <c r="BD79" s="26">
        <v>0</v>
      </c>
      <c r="BE79" s="26">
        <v>0</v>
      </c>
      <c r="BF79" s="26">
        <v>0</v>
      </c>
      <c r="BG79" s="26">
        <v>0</v>
      </c>
      <c r="BH79" s="26">
        <v>1</v>
      </c>
      <c r="BI79" s="26">
        <v>0</v>
      </c>
      <c r="BJ79" s="26">
        <v>0</v>
      </c>
      <c r="BK79" s="26">
        <v>0</v>
      </c>
      <c r="BL79" s="26">
        <v>0</v>
      </c>
      <c r="BM79" s="26">
        <v>0</v>
      </c>
      <c r="BN79" s="26">
        <v>0</v>
      </c>
      <c r="BO79" s="26">
        <v>1</v>
      </c>
      <c r="BP79" s="26">
        <v>0</v>
      </c>
      <c r="BQ79" s="26">
        <v>0</v>
      </c>
      <c r="BR79" s="26">
        <v>0</v>
      </c>
      <c r="BS79" s="26">
        <v>0</v>
      </c>
      <c r="BT79" s="26">
        <v>0</v>
      </c>
      <c r="BU79" s="26">
        <v>2</v>
      </c>
      <c r="BV79" s="26">
        <v>0</v>
      </c>
      <c r="BW79" s="26">
        <v>0</v>
      </c>
      <c r="BX79" s="26">
        <v>0</v>
      </c>
      <c r="BY79" s="26">
        <v>0</v>
      </c>
      <c r="BZ79" s="26">
        <v>0</v>
      </c>
      <c r="CA79" s="26">
        <v>1</v>
      </c>
      <c r="CB79" s="26">
        <v>0</v>
      </c>
      <c r="CC79" s="26">
        <v>0</v>
      </c>
      <c r="CD79" s="26">
        <v>0</v>
      </c>
      <c r="CE79" s="63">
        <f t="shared" si="1"/>
        <v>7</v>
      </c>
      <c r="CF79" s="63">
        <f t="shared" si="2"/>
        <v>11</v>
      </c>
      <c r="CG79" s="64">
        <f t="shared" si="3"/>
        <v>4.7142857142857144</v>
      </c>
      <c r="CH79" s="114">
        <v>4</v>
      </c>
      <c r="CI79" s="115">
        <f t="shared" si="4"/>
        <v>8.7142857142857153</v>
      </c>
    </row>
    <row r="80" spans="1:87" ht="15" customHeight="1">
      <c r="A80" s="20">
        <v>58</v>
      </c>
      <c r="B80" s="122" t="s">
        <v>138</v>
      </c>
      <c r="C80" s="106" t="s">
        <v>168</v>
      </c>
      <c r="D80" s="109" t="s">
        <v>171</v>
      </c>
      <c r="E80" s="110"/>
      <c r="F80" s="21">
        <v>0</v>
      </c>
      <c r="G80" s="22">
        <v>0</v>
      </c>
      <c r="H80" s="22">
        <v>1</v>
      </c>
      <c r="I80" s="22">
        <v>1</v>
      </c>
      <c r="J80" s="22">
        <v>0</v>
      </c>
      <c r="K80" s="22">
        <v>1</v>
      </c>
      <c r="L80" s="22">
        <v>0</v>
      </c>
      <c r="M80" s="22">
        <v>1</v>
      </c>
      <c r="N80" s="22">
        <v>1</v>
      </c>
      <c r="O80" s="22">
        <v>0</v>
      </c>
      <c r="P80" s="22">
        <v>0</v>
      </c>
      <c r="Q80" s="22">
        <v>1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3">
        <v>1</v>
      </c>
      <c r="Y80" s="23">
        <v>1</v>
      </c>
      <c r="Z80" s="23">
        <v>0</v>
      </c>
      <c r="AA80" s="23">
        <v>0</v>
      </c>
      <c r="AB80" s="22">
        <v>0</v>
      </c>
      <c r="AC80" s="22">
        <v>0</v>
      </c>
      <c r="AD80" s="22">
        <v>3</v>
      </c>
      <c r="AE80" s="22">
        <v>0</v>
      </c>
      <c r="AF80" s="22">
        <v>1</v>
      </c>
      <c r="AG80" s="22">
        <v>0</v>
      </c>
      <c r="AH80" s="22">
        <v>0</v>
      </c>
      <c r="AI80" s="22">
        <v>1</v>
      </c>
      <c r="AJ80" s="22">
        <v>0</v>
      </c>
      <c r="AK80" s="22">
        <v>0</v>
      </c>
      <c r="AL80" s="22">
        <v>0</v>
      </c>
      <c r="AM80" s="22">
        <v>0</v>
      </c>
      <c r="AN80" s="40">
        <f t="shared" si="0"/>
        <v>13</v>
      </c>
      <c r="AO80" s="25">
        <v>1</v>
      </c>
      <c r="AP80" s="26">
        <v>0</v>
      </c>
      <c r="AQ80" s="26">
        <v>0</v>
      </c>
      <c r="AR80" s="26">
        <v>0</v>
      </c>
      <c r="AS80" s="26">
        <v>0</v>
      </c>
      <c r="AT80" s="26">
        <v>0</v>
      </c>
      <c r="AU80" s="26">
        <v>0</v>
      </c>
      <c r="AV80" s="26">
        <v>1</v>
      </c>
      <c r="AW80" s="26">
        <v>0</v>
      </c>
      <c r="AX80" s="26">
        <v>0</v>
      </c>
      <c r="AY80" s="26">
        <v>2</v>
      </c>
      <c r="AZ80" s="26">
        <v>1</v>
      </c>
      <c r="BA80" s="26">
        <v>0</v>
      </c>
      <c r="BB80" s="26">
        <v>0</v>
      </c>
      <c r="BC80" s="26">
        <v>0</v>
      </c>
      <c r="BD80" s="26">
        <v>0</v>
      </c>
      <c r="BE80" s="26">
        <v>0</v>
      </c>
      <c r="BF80" s="26">
        <v>0</v>
      </c>
      <c r="BG80" s="26">
        <v>1</v>
      </c>
      <c r="BH80" s="26">
        <v>0</v>
      </c>
      <c r="BI80" s="26">
        <v>0</v>
      </c>
      <c r="BJ80" s="26">
        <v>0</v>
      </c>
      <c r="BK80" s="26">
        <v>0</v>
      </c>
      <c r="BL80" s="26">
        <v>0</v>
      </c>
      <c r="BM80" s="26">
        <v>0</v>
      </c>
      <c r="BN80" s="26">
        <v>0</v>
      </c>
      <c r="BO80" s="26">
        <v>1</v>
      </c>
      <c r="BP80" s="26">
        <v>0</v>
      </c>
      <c r="BQ80" s="26">
        <v>2</v>
      </c>
      <c r="BR80" s="26">
        <v>0</v>
      </c>
      <c r="BS80" s="26">
        <v>1</v>
      </c>
      <c r="BT80" s="26">
        <v>0</v>
      </c>
      <c r="BU80" s="26">
        <v>1</v>
      </c>
      <c r="BV80" s="26">
        <v>0</v>
      </c>
      <c r="BW80" s="26">
        <v>0</v>
      </c>
      <c r="BX80" s="26">
        <v>0</v>
      </c>
      <c r="BY80" s="26">
        <v>0</v>
      </c>
      <c r="BZ80" s="26">
        <v>0</v>
      </c>
      <c r="CA80" s="26">
        <v>2</v>
      </c>
      <c r="CB80" s="26">
        <v>0</v>
      </c>
      <c r="CC80" s="26">
        <v>0</v>
      </c>
      <c r="CD80" s="26">
        <v>0</v>
      </c>
      <c r="CE80" s="63">
        <f t="shared" si="1"/>
        <v>13</v>
      </c>
      <c r="CF80" s="63">
        <f t="shared" si="2"/>
        <v>26</v>
      </c>
      <c r="CG80" s="64">
        <f t="shared" si="3"/>
        <v>11.142857142857142</v>
      </c>
      <c r="CH80" s="114">
        <v>6</v>
      </c>
      <c r="CI80" s="115">
        <f t="shared" si="4"/>
        <v>17.142857142857142</v>
      </c>
    </row>
    <row r="81" spans="1:87" ht="15.75" customHeight="1">
      <c r="A81" s="20">
        <v>59</v>
      </c>
      <c r="B81" s="122" t="s">
        <v>139</v>
      </c>
      <c r="C81" s="106" t="s">
        <v>168</v>
      </c>
      <c r="D81" s="109" t="s">
        <v>171</v>
      </c>
      <c r="E81" s="110"/>
      <c r="F81" s="21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1</v>
      </c>
      <c r="N81" s="22">
        <v>0</v>
      </c>
      <c r="O81" s="22">
        <v>0</v>
      </c>
      <c r="P81" s="22">
        <v>0</v>
      </c>
      <c r="Q81" s="22">
        <v>1</v>
      </c>
      <c r="R81" s="22">
        <v>0</v>
      </c>
      <c r="S81" s="22">
        <v>0</v>
      </c>
      <c r="T81" s="22">
        <v>0</v>
      </c>
      <c r="U81" s="22" t="s">
        <v>172</v>
      </c>
      <c r="V81" s="22" t="s">
        <v>172</v>
      </c>
      <c r="W81" s="22" t="s">
        <v>172</v>
      </c>
      <c r="X81" s="23">
        <v>0</v>
      </c>
      <c r="Y81" s="23">
        <v>0</v>
      </c>
      <c r="Z81" s="23">
        <v>1</v>
      </c>
      <c r="AA81" s="23">
        <v>0</v>
      </c>
      <c r="AB81" s="22">
        <v>0</v>
      </c>
      <c r="AC81" s="22">
        <v>0</v>
      </c>
      <c r="AD81" s="22">
        <v>1</v>
      </c>
      <c r="AE81" s="22">
        <v>0</v>
      </c>
      <c r="AF81" s="22">
        <v>2</v>
      </c>
      <c r="AG81" s="22">
        <v>0</v>
      </c>
      <c r="AH81" s="22">
        <v>0</v>
      </c>
      <c r="AI81" s="22">
        <v>1</v>
      </c>
      <c r="AJ81" s="22">
        <v>0</v>
      </c>
      <c r="AK81" s="22">
        <v>0</v>
      </c>
      <c r="AL81" s="22">
        <v>0</v>
      </c>
      <c r="AM81" s="22">
        <v>0</v>
      </c>
      <c r="AN81" s="40">
        <f t="shared" si="0"/>
        <v>7</v>
      </c>
      <c r="AO81" s="25">
        <v>0</v>
      </c>
      <c r="AP81" s="26">
        <v>0</v>
      </c>
      <c r="AQ81" s="26">
        <v>0</v>
      </c>
      <c r="AR81" s="26" t="s">
        <v>172</v>
      </c>
      <c r="AS81" s="26">
        <v>0</v>
      </c>
      <c r="AT81" s="26">
        <v>0</v>
      </c>
      <c r="AU81" s="26">
        <v>0</v>
      </c>
      <c r="AV81" s="26">
        <v>0</v>
      </c>
      <c r="AW81" s="26">
        <v>1</v>
      </c>
      <c r="AX81" s="26">
        <v>0</v>
      </c>
      <c r="AY81" s="26">
        <v>2</v>
      </c>
      <c r="AZ81" s="26">
        <v>1</v>
      </c>
      <c r="BA81" s="26">
        <v>0</v>
      </c>
      <c r="BB81" s="26">
        <v>0</v>
      </c>
      <c r="BC81" s="26">
        <v>0</v>
      </c>
      <c r="BD81" s="26">
        <v>0</v>
      </c>
      <c r="BE81" s="26">
        <v>0</v>
      </c>
      <c r="BF81" s="26">
        <v>0</v>
      </c>
      <c r="BG81" s="26">
        <v>1</v>
      </c>
      <c r="BH81" s="26">
        <v>0</v>
      </c>
      <c r="BI81" s="26">
        <v>0</v>
      </c>
      <c r="BJ81" s="26">
        <v>0</v>
      </c>
      <c r="BK81" s="26">
        <v>0</v>
      </c>
      <c r="BL81" s="26">
        <v>0</v>
      </c>
      <c r="BM81" s="26">
        <v>0</v>
      </c>
      <c r="BN81" s="26">
        <v>0</v>
      </c>
      <c r="BO81" s="26">
        <v>1</v>
      </c>
      <c r="BP81" s="26">
        <v>0</v>
      </c>
      <c r="BQ81" s="26">
        <v>0</v>
      </c>
      <c r="BR81" s="26">
        <v>0</v>
      </c>
      <c r="BS81" s="26">
        <v>0</v>
      </c>
      <c r="BT81" s="26">
        <v>0</v>
      </c>
      <c r="BU81" s="26">
        <v>0</v>
      </c>
      <c r="BV81" s="26" t="s">
        <v>172</v>
      </c>
      <c r="BW81" s="26" t="s">
        <v>172</v>
      </c>
      <c r="BX81" s="26" t="s">
        <v>172</v>
      </c>
      <c r="BY81" s="26">
        <v>0</v>
      </c>
      <c r="BZ81" s="26" t="s">
        <v>172</v>
      </c>
      <c r="CA81" s="26">
        <v>1</v>
      </c>
      <c r="CB81" s="26">
        <v>0</v>
      </c>
      <c r="CC81" s="26">
        <v>0</v>
      </c>
      <c r="CD81" s="26">
        <v>0</v>
      </c>
      <c r="CE81" s="63">
        <f t="shared" si="1"/>
        <v>7</v>
      </c>
      <c r="CF81" s="63">
        <f t="shared" si="2"/>
        <v>14</v>
      </c>
      <c r="CG81" s="64">
        <f t="shared" si="3"/>
        <v>6</v>
      </c>
      <c r="CH81" s="114">
        <v>8</v>
      </c>
      <c r="CI81" s="115">
        <f t="shared" si="4"/>
        <v>14</v>
      </c>
    </row>
    <row r="82" spans="1:87" ht="15" customHeight="1">
      <c r="A82" s="20">
        <v>60</v>
      </c>
      <c r="B82" s="122" t="s">
        <v>140</v>
      </c>
      <c r="C82" s="106" t="s">
        <v>168</v>
      </c>
      <c r="D82" s="109" t="s">
        <v>171</v>
      </c>
      <c r="E82" s="110"/>
      <c r="F82" s="21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1</v>
      </c>
      <c r="N82" s="22">
        <v>0</v>
      </c>
      <c r="O82" s="22">
        <v>0</v>
      </c>
      <c r="P82" s="22">
        <v>0</v>
      </c>
      <c r="Q82" s="22">
        <v>0</v>
      </c>
      <c r="R82" s="22">
        <v>2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3">
        <v>1</v>
      </c>
      <c r="Y82" s="23">
        <v>0</v>
      </c>
      <c r="Z82" s="23">
        <v>0</v>
      </c>
      <c r="AA82" s="23">
        <v>0</v>
      </c>
      <c r="AB82" s="22">
        <v>2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1</v>
      </c>
      <c r="AJ82" s="22">
        <v>1</v>
      </c>
      <c r="AK82" s="22">
        <v>0</v>
      </c>
      <c r="AL82" s="22">
        <v>0</v>
      </c>
      <c r="AM82" s="22">
        <v>0</v>
      </c>
      <c r="AN82" s="40">
        <f t="shared" si="0"/>
        <v>8</v>
      </c>
      <c r="AO82" s="25">
        <v>1</v>
      </c>
      <c r="AP82" s="26">
        <v>0</v>
      </c>
      <c r="AQ82" s="26">
        <v>0</v>
      </c>
      <c r="AR82" s="26">
        <v>0</v>
      </c>
      <c r="AS82" s="26">
        <v>0</v>
      </c>
      <c r="AT82" s="26">
        <v>0</v>
      </c>
      <c r="AU82" s="26">
        <v>0</v>
      </c>
      <c r="AV82" s="26">
        <v>0</v>
      </c>
      <c r="AW82" s="26">
        <v>0</v>
      </c>
      <c r="AX82" s="26">
        <v>0</v>
      </c>
      <c r="AY82" s="26">
        <v>0</v>
      </c>
      <c r="AZ82" s="26">
        <v>0</v>
      </c>
      <c r="BA82" s="26">
        <v>0</v>
      </c>
      <c r="BB82" s="26">
        <v>0</v>
      </c>
      <c r="BC82" s="26">
        <v>0</v>
      </c>
      <c r="BD82" s="26">
        <v>0</v>
      </c>
      <c r="BE82" s="26">
        <v>0</v>
      </c>
      <c r="BF82" s="26">
        <v>0</v>
      </c>
      <c r="BG82" s="26">
        <v>1</v>
      </c>
      <c r="BH82" s="26">
        <v>0</v>
      </c>
      <c r="BI82" s="26">
        <v>0</v>
      </c>
      <c r="BJ82" s="26">
        <v>0</v>
      </c>
      <c r="BK82" s="26">
        <v>0</v>
      </c>
      <c r="BL82" s="26">
        <v>0</v>
      </c>
      <c r="BM82" s="26">
        <v>0</v>
      </c>
      <c r="BN82" s="26">
        <v>0</v>
      </c>
      <c r="BO82" s="26">
        <v>0</v>
      </c>
      <c r="BP82" s="26">
        <v>0</v>
      </c>
      <c r="BQ82" s="26">
        <v>1</v>
      </c>
      <c r="BR82" s="26">
        <v>0</v>
      </c>
      <c r="BS82" s="26">
        <v>0</v>
      </c>
      <c r="BT82" s="26">
        <v>0</v>
      </c>
      <c r="BU82" s="26">
        <v>1</v>
      </c>
      <c r="BV82" s="26">
        <v>0</v>
      </c>
      <c r="BW82" s="26">
        <v>0</v>
      </c>
      <c r="BX82" s="26">
        <v>0</v>
      </c>
      <c r="BY82" s="26">
        <v>0</v>
      </c>
      <c r="BZ82" s="26">
        <v>0</v>
      </c>
      <c r="CA82" s="26">
        <v>1</v>
      </c>
      <c r="CB82" s="26">
        <v>0</v>
      </c>
      <c r="CC82" s="26">
        <v>0</v>
      </c>
      <c r="CD82" s="26">
        <v>0</v>
      </c>
      <c r="CE82" s="63">
        <f t="shared" si="1"/>
        <v>5</v>
      </c>
      <c r="CF82" s="63">
        <f t="shared" si="2"/>
        <v>13</v>
      </c>
      <c r="CG82" s="64">
        <f t="shared" si="3"/>
        <v>5.5714285714285712</v>
      </c>
      <c r="CH82" s="114">
        <v>6</v>
      </c>
      <c r="CI82" s="115">
        <f t="shared" si="4"/>
        <v>11.571428571428571</v>
      </c>
    </row>
    <row r="83" spans="1:87" ht="15" customHeight="1">
      <c r="A83" s="20">
        <v>61</v>
      </c>
      <c r="B83" s="122" t="s">
        <v>141</v>
      </c>
      <c r="C83" s="106" t="s">
        <v>168</v>
      </c>
      <c r="D83" s="109" t="s">
        <v>171</v>
      </c>
      <c r="E83" s="110"/>
      <c r="F83" s="21">
        <v>0</v>
      </c>
      <c r="G83" s="22">
        <v>0</v>
      </c>
      <c r="H83" s="22">
        <v>0</v>
      </c>
      <c r="I83" s="22">
        <v>1</v>
      </c>
      <c r="J83" s="22">
        <v>0</v>
      </c>
      <c r="K83" s="22">
        <v>0</v>
      </c>
      <c r="L83" s="22">
        <v>0</v>
      </c>
      <c r="M83" s="22">
        <v>2</v>
      </c>
      <c r="N83" s="22">
        <v>0</v>
      </c>
      <c r="O83" s="22">
        <v>0</v>
      </c>
      <c r="P83" s="22">
        <v>0</v>
      </c>
      <c r="Q83" s="22">
        <v>1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3">
        <v>0</v>
      </c>
      <c r="Y83" s="23">
        <v>1</v>
      </c>
      <c r="Z83" s="23">
        <v>0</v>
      </c>
      <c r="AA83" s="23">
        <v>0</v>
      </c>
      <c r="AB83" s="22">
        <v>0</v>
      </c>
      <c r="AC83" s="22">
        <v>0</v>
      </c>
      <c r="AD83" s="22">
        <v>1</v>
      </c>
      <c r="AE83" s="22">
        <v>2</v>
      </c>
      <c r="AF83" s="22">
        <v>0</v>
      </c>
      <c r="AG83" s="22">
        <v>0</v>
      </c>
      <c r="AH83" s="22">
        <v>0</v>
      </c>
      <c r="AI83" s="22">
        <v>2</v>
      </c>
      <c r="AJ83" s="22">
        <v>0</v>
      </c>
      <c r="AK83" s="22">
        <v>0</v>
      </c>
      <c r="AL83" s="22">
        <v>0</v>
      </c>
      <c r="AM83" s="22">
        <v>0</v>
      </c>
      <c r="AN83" s="40">
        <f t="shared" si="0"/>
        <v>10</v>
      </c>
      <c r="AO83" s="25">
        <v>1</v>
      </c>
      <c r="AP83" s="26">
        <v>0</v>
      </c>
      <c r="AQ83" s="26">
        <v>0</v>
      </c>
      <c r="AR83" s="26">
        <v>0</v>
      </c>
      <c r="AS83" s="26">
        <v>0</v>
      </c>
      <c r="AT83" s="26">
        <v>0</v>
      </c>
      <c r="AU83" s="26">
        <v>0</v>
      </c>
      <c r="AV83" s="26">
        <v>0</v>
      </c>
      <c r="AW83" s="26">
        <v>0</v>
      </c>
      <c r="AX83" s="26">
        <v>0</v>
      </c>
      <c r="AY83" s="26">
        <v>2</v>
      </c>
      <c r="AZ83" s="26">
        <v>1</v>
      </c>
      <c r="BA83" s="26">
        <v>3</v>
      </c>
      <c r="BB83" s="26">
        <v>2</v>
      </c>
      <c r="BC83" s="26">
        <v>0</v>
      </c>
      <c r="BD83" s="26">
        <v>1</v>
      </c>
      <c r="BE83" s="26">
        <v>1</v>
      </c>
      <c r="BF83" s="26">
        <v>0</v>
      </c>
      <c r="BG83" s="26">
        <v>1</v>
      </c>
      <c r="BH83" s="26">
        <v>3</v>
      </c>
      <c r="BI83" s="26">
        <v>0</v>
      </c>
      <c r="BJ83" s="26">
        <v>0</v>
      </c>
      <c r="BK83" s="26">
        <v>0</v>
      </c>
      <c r="BL83" s="26">
        <v>1</v>
      </c>
      <c r="BM83" s="26">
        <v>0</v>
      </c>
      <c r="BN83" s="26">
        <v>0</v>
      </c>
      <c r="BO83" s="26" t="s">
        <v>172</v>
      </c>
      <c r="BP83" s="26" t="s">
        <v>172</v>
      </c>
      <c r="BQ83" s="26" t="s">
        <v>172</v>
      </c>
      <c r="BR83" s="26">
        <v>0</v>
      </c>
      <c r="BS83" s="26">
        <v>0</v>
      </c>
      <c r="BT83" s="26">
        <v>0</v>
      </c>
      <c r="BU83" s="26">
        <v>1</v>
      </c>
      <c r="BV83" s="26">
        <v>1</v>
      </c>
      <c r="BW83" s="26">
        <v>0</v>
      </c>
      <c r="BX83" s="26">
        <v>0</v>
      </c>
      <c r="BY83" s="26">
        <v>2</v>
      </c>
      <c r="BZ83" s="26">
        <v>0</v>
      </c>
      <c r="CA83" s="26">
        <v>2</v>
      </c>
      <c r="CB83" s="26">
        <v>0</v>
      </c>
      <c r="CC83" s="26">
        <v>0</v>
      </c>
      <c r="CD83" s="26">
        <v>0</v>
      </c>
      <c r="CE83" s="63">
        <f t="shared" si="1"/>
        <v>22</v>
      </c>
      <c r="CF83" s="63">
        <f t="shared" si="2"/>
        <v>32</v>
      </c>
      <c r="CG83" s="64">
        <f t="shared" si="3"/>
        <v>13.714285714285714</v>
      </c>
      <c r="CH83" s="114">
        <v>10</v>
      </c>
      <c r="CI83" s="115">
        <f t="shared" si="4"/>
        <v>23.714285714285715</v>
      </c>
    </row>
    <row r="84" spans="1:87" ht="15" customHeight="1">
      <c r="A84" s="20">
        <v>62</v>
      </c>
      <c r="B84" s="122" t="s">
        <v>142</v>
      </c>
      <c r="C84" s="106" t="s">
        <v>168</v>
      </c>
      <c r="D84" s="109" t="s">
        <v>171</v>
      </c>
      <c r="E84" s="110"/>
      <c r="F84" s="21">
        <v>0</v>
      </c>
      <c r="G84" s="22">
        <v>0</v>
      </c>
      <c r="H84" s="22">
        <v>0</v>
      </c>
      <c r="I84" s="22">
        <v>1</v>
      </c>
      <c r="J84" s="22">
        <v>0</v>
      </c>
      <c r="K84" s="22">
        <v>0</v>
      </c>
      <c r="L84" s="22">
        <v>0</v>
      </c>
      <c r="M84" s="22">
        <v>2</v>
      </c>
      <c r="N84" s="22">
        <v>0</v>
      </c>
      <c r="O84" s="22">
        <v>1</v>
      </c>
      <c r="P84" s="22">
        <v>0</v>
      </c>
      <c r="Q84" s="22">
        <v>0</v>
      </c>
      <c r="R84" s="22">
        <v>0</v>
      </c>
      <c r="S84" s="22">
        <v>0</v>
      </c>
      <c r="T84" s="22">
        <v>1</v>
      </c>
      <c r="U84" s="22">
        <v>0</v>
      </c>
      <c r="V84" s="22">
        <v>0</v>
      </c>
      <c r="W84" s="22">
        <v>0</v>
      </c>
      <c r="X84" s="23">
        <v>0</v>
      </c>
      <c r="Y84" s="23">
        <v>0</v>
      </c>
      <c r="Z84" s="23">
        <v>1</v>
      </c>
      <c r="AA84" s="23">
        <v>0</v>
      </c>
      <c r="AB84" s="22">
        <v>0</v>
      </c>
      <c r="AC84" s="22">
        <v>0</v>
      </c>
      <c r="AD84" s="22">
        <v>1</v>
      </c>
      <c r="AE84" s="22">
        <v>0</v>
      </c>
      <c r="AF84" s="22">
        <v>0</v>
      </c>
      <c r="AG84" s="22">
        <v>0</v>
      </c>
      <c r="AH84" s="22">
        <v>0</v>
      </c>
      <c r="AI84" s="22">
        <v>1</v>
      </c>
      <c r="AJ84" s="22">
        <v>1</v>
      </c>
      <c r="AK84" s="22">
        <v>0</v>
      </c>
      <c r="AL84" s="22">
        <v>0</v>
      </c>
      <c r="AM84" s="22">
        <v>0</v>
      </c>
      <c r="AN84" s="40">
        <f t="shared" si="0"/>
        <v>9</v>
      </c>
      <c r="AO84" s="25">
        <v>1</v>
      </c>
      <c r="AP84" s="26">
        <v>0</v>
      </c>
      <c r="AQ84" s="26">
        <v>0</v>
      </c>
      <c r="AR84" s="26">
        <v>0</v>
      </c>
      <c r="AS84" s="26">
        <v>0</v>
      </c>
      <c r="AT84" s="26">
        <v>0</v>
      </c>
      <c r="AU84" s="26">
        <v>0</v>
      </c>
      <c r="AV84" s="26">
        <v>0</v>
      </c>
      <c r="AW84" s="26">
        <v>0</v>
      </c>
      <c r="AX84" s="26">
        <v>0</v>
      </c>
      <c r="AY84" s="26">
        <v>2</v>
      </c>
      <c r="AZ84" s="26">
        <v>0</v>
      </c>
      <c r="BA84" s="26">
        <v>0</v>
      </c>
      <c r="BB84" s="26">
        <v>0</v>
      </c>
      <c r="BC84" s="26">
        <v>2</v>
      </c>
      <c r="BD84" s="26">
        <v>1</v>
      </c>
      <c r="BE84" s="26">
        <v>1</v>
      </c>
      <c r="BF84" s="26">
        <v>0</v>
      </c>
      <c r="BG84" s="26">
        <v>1</v>
      </c>
      <c r="BH84" s="26">
        <v>0</v>
      </c>
      <c r="BI84" s="26">
        <v>0</v>
      </c>
      <c r="BJ84" s="26">
        <v>0</v>
      </c>
      <c r="BK84" s="26">
        <v>0</v>
      </c>
      <c r="BL84" s="26">
        <v>0</v>
      </c>
      <c r="BM84" s="26">
        <v>0</v>
      </c>
      <c r="BN84" s="26">
        <v>0</v>
      </c>
      <c r="BO84" s="26">
        <v>0</v>
      </c>
      <c r="BP84" s="26" t="s">
        <v>172</v>
      </c>
      <c r="BQ84" s="26">
        <v>2</v>
      </c>
      <c r="BR84" s="26">
        <v>0</v>
      </c>
      <c r="BS84" s="26">
        <v>0</v>
      </c>
      <c r="BT84" s="26">
        <v>0</v>
      </c>
      <c r="BU84" s="26">
        <v>2</v>
      </c>
      <c r="BV84" s="26">
        <v>0</v>
      </c>
      <c r="BW84" s="26">
        <v>0</v>
      </c>
      <c r="BX84" s="26">
        <v>0</v>
      </c>
      <c r="BY84" s="26">
        <v>0</v>
      </c>
      <c r="BZ84" s="26">
        <v>0</v>
      </c>
      <c r="CA84" s="26">
        <v>1</v>
      </c>
      <c r="CB84" s="26">
        <v>0</v>
      </c>
      <c r="CC84" s="26">
        <v>0</v>
      </c>
      <c r="CD84" s="26">
        <v>0</v>
      </c>
      <c r="CE84" s="63">
        <f t="shared" si="1"/>
        <v>13</v>
      </c>
      <c r="CF84" s="63">
        <f t="shared" si="2"/>
        <v>22</v>
      </c>
      <c r="CG84" s="64">
        <f t="shared" si="3"/>
        <v>9.4285714285714288</v>
      </c>
      <c r="CH84" s="114">
        <v>6</v>
      </c>
      <c r="CI84" s="115">
        <f t="shared" si="4"/>
        <v>15.428571428571429</v>
      </c>
    </row>
    <row r="85" spans="1:87" ht="15" customHeight="1">
      <c r="A85" s="20">
        <v>63</v>
      </c>
      <c r="B85" s="122" t="s">
        <v>143</v>
      </c>
      <c r="C85" s="106" t="s">
        <v>168</v>
      </c>
      <c r="D85" s="109" t="s">
        <v>171</v>
      </c>
      <c r="E85" s="110"/>
      <c r="F85" s="21">
        <v>0</v>
      </c>
      <c r="G85" s="22">
        <v>0</v>
      </c>
      <c r="H85" s="22">
        <v>0</v>
      </c>
      <c r="I85" s="22">
        <v>1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1</v>
      </c>
      <c r="R85" s="22">
        <v>0</v>
      </c>
      <c r="S85" s="22">
        <v>0</v>
      </c>
      <c r="T85" s="22">
        <v>0</v>
      </c>
      <c r="U85" s="22" t="s">
        <v>172</v>
      </c>
      <c r="V85" s="22">
        <v>0</v>
      </c>
      <c r="W85" s="22">
        <v>1</v>
      </c>
      <c r="X85" s="23">
        <v>0</v>
      </c>
      <c r="Y85" s="23">
        <v>0</v>
      </c>
      <c r="Z85" s="23">
        <v>0</v>
      </c>
      <c r="AA85" s="23">
        <v>0</v>
      </c>
      <c r="AB85" s="22">
        <v>0</v>
      </c>
      <c r="AC85" s="22">
        <v>0</v>
      </c>
      <c r="AD85" s="22">
        <v>1</v>
      </c>
      <c r="AE85" s="22">
        <v>0</v>
      </c>
      <c r="AF85" s="22">
        <v>1</v>
      </c>
      <c r="AG85" s="22">
        <v>0</v>
      </c>
      <c r="AH85" s="22">
        <v>0</v>
      </c>
      <c r="AI85" s="22">
        <v>1</v>
      </c>
      <c r="AJ85" s="22">
        <v>0</v>
      </c>
      <c r="AK85" s="22">
        <v>0</v>
      </c>
      <c r="AL85" s="22">
        <v>0</v>
      </c>
      <c r="AM85" s="22">
        <v>0</v>
      </c>
      <c r="AN85" s="40">
        <f t="shared" si="0"/>
        <v>6</v>
      </c>
      <c r="AO85" s="25">
        <v>0</v>
      </c>
      <c r="AP85" s="26">
        <v>0</v>
      </c>
      <c r="AQ85" s="26">
        <v>0</v>
      </c>
      <c r="AR85" s="26">
        <v>0</v>
      </c>
      <c r="AS85" s="26">
        <v>0</v>
      </c>
      <c r="AT85" s="26">
        <v>0</v>
      </c>
      <c r="AU85" s="26">
        <v>0</v>
      </c>
      <c r="AV85" s="26" t="s">
        <v>172</v>
      </c>
      <c r="AW85" s="26">
        <v>0</v>
      </c>
      <c r="AX85" s="26">
        <v>0</v>
      </c>
      <c r="AY85" s="26">
        <v>0</v>
      </c>
      <c r="AZ85" s="26">
        <v>1</v>
      </c>
      <c r="BA85" s="26">
        <v>0</v>
      </c>
      <c r="BB85" s="26">
        <v>0</v>
      </c>
      <c r="BC85" s="26">
        <v>0</v>
      </c>
      <c r="BD85" s="26">
        <v>0</v>
      </c>
      <c r="BE85" s="26">
        <v>1</v>
      </c>
      <c r="BF85" s="26">
        <v>0</v>
      </c>
      <c r="BG85" s="26">
        <v>1</v>
      </c>
      <c r="BH85" s="26">
        <v>0</v>
      </c>
      <c r="BI85" s="26">
        <v>0</v>
      </c>
      <c r="BJ85" s="26">
        <v>0</v>
      </c>
      <c r="BK85" s="26">
        <v>0</v>
      </c>
      <c r="BL85" s="26">
        <v>0</v>
      </c>
      <c r="BM85" s="26">
        <v>0</v>
      </c>
      <c r="BN85" s="26">
        <v>0</v>
      </c>
      <c r="BO85" s="26">
        <v>1</v>
      </c>
      <c r="BP85" s="26">
        <v>0</v>
      </c>
      <c r="BQ85" s="26">
        <v>1</v>
      </c>
      <c r="BR85" s="26">
        <v>0</v>
      </c>
      <c r="BS85" s="26" t="s">
        <v>172</v>
      </c>
      <c r="BT85" s="26" t="s">
        <v>172</v>
      </c>
      <c r="BU85" s="26" t="s">
        <v>172</v>
      </c>
      <c r="BV85" s="26" t="s">
        <v>172</v>
      </c>
      <c r="BW85" s="26" t="s">
        <v>172</v>
      </c>
      <c r="BX85" s="26" t="s">
        <v>172</v>
      </c>
      <c r="BY85" s="26" t="s">
        <v>172</v>
      </c>
      <c r="BZ85" s="26" t="s">
        <v>172</v>
      </c>
      <c r="CA85" s="26">
        <v>1</v>
      </c>
      <c r="CB85" s="26" t="s">
        <v>172</v>
      </c>
      <c r="CC85" s="26">
        <v>0</v>
      </c>
      <c r="CD85" s="26">
        <v>0</v>
      </c>
      <c r="CE85" s="63">
        <f t="shared" si="1"/>
        <v>6</v>
      </c>
      <c r="CF85" s="63">
        <f t="shared" si="2"/>
        <v>12</v>
      </c>
      <c r="CG85" s="64">
        <f t="shared" si="3"/>
        <v>5.1428571428571432</v>
      </c>
      <c r="CH85" s="114">
        <v>6</v>
      </c>
      <c r="CI85" s="115">
        <f t="shared" si="4"/>
        <v>11.142857142857142</v>
      </c>
    </row>
    <row r="86" spans="1:87" ht="15.75" customHeight="1">
      <c r="A86" s="20">
        <v>64</v>
      </c>
      <c r="B86" s="122" t="s">
        <v>144</v>
      </c>
      <c r="C86" s="106" t="s">
        <v>168</v>
      </c>
      <c r="D86" s="109" t="s">
        <v>171</v>
      </c>
      <c r="E86" s="110"/>
      <c r="F86" s="21">
        <v>0</v>
      </c>
      <c r="G86" s="22">
        <v>0</v>
      </c>
      <c r="H86" s="22">
        <v>0</v>
      </c>
      <c r="I86" s="22">
        <v>0</v>
      </c>
      <c r="J86" s="22">
        <v>0</v>
      </c>
      <c r="K86" s="22">
        <v>1</v>
      </c>
      <c r="L86" s="22">
        <v>0</v>
      </c>
      <c r="M86" s="22">
        <v>1</v>
      </c>
      <c r="N86" s="22">
        <v>1</v>
      </c>
      <c r="O86" s="22">
        <v>1</v>
      </c>
      <c r="P86" s="22">
        <v>0</v>
      </c>
      <c r="Q86" s="22">
        <v>1</v>
      </c>
      <c r="R86" s="22">
        <v>2</v>
      </c>
      <c r="S86" s="22">
        <v>1</v>
      </c>
      <c r="T86" s="22">
        <v>0</v>
      </c>
      <c r="U86" s="22">
        <v>0</v>
      </c>
      <c r="V86" s="22">
        <v>0</v>
      </c>
      <c r="W86" s="22">
        <v>0</v>
      </c>
      <c r="X86" s="23">
        <v>0</v>
      </c>
      <c r="Y86" s="23">
        <v>0</v>
      </c>
      <c r="Z86" s="23">
        <v>0</v>
      </c>
      <c r="AA86" s="23">
        <v>0</v>
      </c>
      <c r="AB86" s="22">
        <v>0</v>
      </c>
      <c r="AC86" s="22">
        <v>0</v>
      </c>
      <c r="AD86" s="22">
        <v>1</v>
      </c>
      <c r="AE86" s="22">
        <v>0</v>
      </c>
      <c r="AF86" s="22">
        <v>2</v>
      </c>
      <c r="AG86" s="22">
        <v>0</v>
      </c>
      <c r="AH86" s="22">
        <v>0</v>
      </c>
      <c r="AI86" s="22">
        <v>2</v>
      </c>
      <c r="AJ86" s="22">
        <v>0</v>
      </c>
      <c r="AK86" s="22">
        <v>0</v>
      </c>
      <c r="AL86" s="22">
        <v>0</v>
      </c>
      <c r="AM86" s="22">
        <v>0</v>
      </c>
      <c r="AN86" s="40">
        <f t="shared" si="0"/>
        <v>13</v>
      </c>
      <c r="AO86" s="25">
        <v>1</v>
      </c>
      <c r="AP86" s="26">
        <v>0</v>
      </c>
      <c r="AQ86" s="26">
        <v>0</v>
      </c>
      <c r="AR86" s="26">
        <v>0</v>
      </c>
      <c r="AS86" s="26">
        <v>0</v>
      </c>
      <c r="AT86" s="26">
        <v>0</v>
      </c>
      <c r="AU86" s="26">
        <v>0</v>
      </c>
      <c r="AV86" s="26">
        <v>0</v>
      </c>
      <c r="AW86" s="26">
        <v>0</v>
      </c>
      <c r="AX86" s="26">
        <v>0</v>
      </c>
      <c r="AY86" s="26">
        <v>2</v>
      </c>
      <c r="AZ86" s="26">
        <v>1</v>
      </c>
      <c r="BA86" s="26">
        <v>3</v>
      </c>
      <c r="BB86" s="26">
        <v>2</v>
      </c>
      <c r="BC86" s="26">
        <v>0</v>
      </c>
      <c r="BD86" s="26">
        <v>0</v>
      </c>
      <c r="BE86" s="26">
        <v>0</v>
      </c>
      <c r="BF86" s="26">
        <v>0</v>
      </c>
      <c r="BG86" s="26">
        <v>1</v>
      </c>
      <c r="BH86" s="26">
        <v>1</v>
      </c>
      <c r="BI86" s="26">
        <v>0</v>
      </c>
      <c r="BJ86" s="26">
        <v>0</v>
      </c>
      <c r="BK86" s="26">
        <v>0</v>
      </c>
      <c r="BL86" s="26">
        <v>0</v>
      </c>
      <c r="BM86" s="26">
        <v>0</v>
      </c>
      <c r="BN86" s="26">
        <v>0</v>
      </c>
      <c r="BO86" s="26">
        <v>1</v>
      </c>
      <c r="BP86" s="26">
        <v>0</v>
      </c>
      <c r="BQ86" s="26">
        <v>0</v>
      </c>
      <c r="BR86" s="26">
        <v>0</v>
      </c>
      <c r="BS86" s="26">
        <v>0</v>
      </c>
      <c r="BT86" s="26">
        <v>1</v>
      </c>
      <c r="BU86" s="26">
        <v>1</v>
      </c>
      <c r="BV86" s="26">
        <v>0</v>
      </c>
      <c r="BW86" s="26">
        <v>0</v>
      </c>
      <c r="BX86" s="26">
        <v>0</v>
      </c>
      <c r="BY86" s="26">
        <v>0</v>
      </c>
      <c r="BZ86" s="26">
        <v>0</v>
      </c>
      <c r="CA86" s="26">
        <v>1</v>
      </c>
      <c r="CB86" s="26">
        <v>0</v>
      </c>
      <c r="CC86" s="26">
        <v>0</v>
      </c>
      <c r="CD86" s="26">
        <v>0</v>
      </c>
      <c r="CE86" s="63">
        <f t="shared" si="1"/>
        <v>15</v>
      </c>
      <c r="CF86" s="63">
        <f t="shared" si="2"/>
        <v>28</v>
      </c>
      <c r="CG86" s="64">
        <f t="shared" si="3"/>
        <v>12</v>
      </c>
      <c r="CH86" s="114">
        <v>8</v>
      </c>
      <c r="CI86" s="115">
        <f t="shared" si="4"/>
        <v>20</v>
      </c>
    </row>
    <row r="87" spans="1:87" ht="15" customHeight="1">
      <c r="A87" s="20">
        <v>65</v>
      </c>
      <c r="B87" s="122" t="s">
        <v>145</v>
      </c>
      <c r="C87" s="106" t="s">
        <v>168</v>
      </c>
      <c r="D87" s="109" t="s">
        <v>171</v>
      </c>
      <c r="E87" s="110"/>
      <c r="F87" s="21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2</v>
      </c>
      <c r="M87" s="22">
        <v>1</v>
      </c>
      <c r="N87" s="22">
        <v>0</v>
      </c>
      <c r="O87" s="22">
        <v>0</v>
      </c>
      <c r="P87" s="22">
        <v>0</v>
      </c>
      <c r="Q87" s="22">
        <v>1</v>
      </c>
      <c r="R87" s="22">
        <v>2</v>
      </c>
      <c r="S87" s="22">
        <v>0</v>
      </c>
      <c r="T87" s="22">
        <v>0</v>
      </c>
      <c r="U87" s="22">
        <v>0</v>
      </c>
      <c r="V87" s="22">
        <v>0</v>
      </c>
      <c r="W87" s="22">
        <v>1</v>
      </c>
      <c r="X87" s="23">
        <v>1</v>
      </c>
      <c r="Y87" s="23">
        <v>0</v>
      </c>
      <c r="Z87" s="23">
        <v>0</v>
      </c>
      <c r="AA87" s="23">
        <v>1</v>
      </c>
      <c r="AB87" s="22">
        <v>2</v>
      </c>
      <c r="AC87" s="22">
        <v>0</v>
      </c>
      <c r="AD87" s="22">
        <v>1</v>
      </c>
      <c r="AE87" s="22">
        <v>1</v>
      </c>
      <c r="AF87" s="22">
        <v>0</v>
      </c>
      <c r="AG87" s="22">
        <v>3</v>
      </c>
      <c r="AH87" s="22">
        <v>0</v>
      </c>
      <c r="AI87" s="22">
        <v>0</v>
      </c>
      <c r="AJ87" s="22">
        <v>2</v>
      </c>
      <c r="AK87" s="22">
        <v>0</v>
      </c>
      <c r="AL87" s="22">
        <v>0</v>
      </c>
      <c r="AM87" s="22">
        <v>0</v>
      </c>
      <c r="AN87" s="40">
        <f t="shared" si="0"/>
        <v>18</v>
      </c>
      <c r="AO87" s="25">
        <v>0</v>
      </c>
      <c r="AP87" s="26">
        <v>0</v>
      </c>
      <c r="AQ87" s="26">
        <v>0</v>
      </c>
      <c r="AR87" s="26">
        <v>0</v>
      </c>
      <c r="AS87" s="26">
        <v>0</v>
      </c>
      <c r="AT87" s="26">
        <v>0</v>
      </c>
      <c r="AU87" s="26">
        <v>0</v>
      </c>
      <c r="AV87" s="26">
        <v>0</v>
      </c>
      <c r="AW87" s="26">
        <v>0</v>
      </c>
      <c r="AX87" s="26">
        <v>0</v>
      </c>
      <c r="AY87" s="26">
        <v>0</v>
      </c>
      <c r="AZ87" s="26">
        <v>1</v>
      </c>
      <c r="BA87" s="26">
        <v>3</v>
      </c>
      <c r="BB87" s="26">
        <v>0</v>
      </c>
      <c r="BC87" s="26">
        <v>2</v>
      </c>
      <c r="BD87" s="26">
        <v>0</v>
      </c>
      <c r="BE87" s="26">
        <v>0</v>
      </c>
      <c r="BF87" s="26">
        <v>0</v>
      </c>
      <c r="BG87" s="26">
        <v>1</v>
      </c>
      <c r="BH87" s="26">
        <v>1</v>
      </c>
      <c r="BI87" s="26">
        <v>0</v>
      </c>
      <c r="BJ87" s="26">
        <v>0</v>
      </c>
      <c r="BK87" s="26">
        <v>0</v>
      </c>
      <c r="BL87" s="26">
        <v>0</v>
      </c>
      <c r="BM87" s="26">
        <v>0</v>
      </c>
      <c r="BN87" s="26">
        <v>0</v>
      </c>
      <c r="BO87" s="26">
        <v>1</v>
      </c>
      <c r="BP87" s="26">
        <v>0</v>
      </c>
      <c r="BQ87" s="26">
        <v>1</v>
      </c>
      <c r="BR87" s="26">
        <v>0</v>
      </c>
      <c r="BS87" s="26">
        <v>0</v>
      </c>
      <c r="BT87" s="26">
        <v>1</v>
      </c>
      <c r="BU87" s="26">
        <v>1</v>
      </c>
      <c r="BV87" s="26">
        <v>0</v>
      </c>
      <c r="BW87" s="26">
        <v>2</v>
      </c>
      <c r="BX87" s="26">
        <v>0</v>
      </c>
      <c r="BY87" s="26">
        <v>0</v>
      </c>
      <c r="BZ87" s="26">
        <v>0</v>
      </c>
      <c r="CA87" s="26">
        <v>2</v>
      </c>
      <c r="CB87" s="26">
        <v>0</v>
      </c>
      <c r="CC87" s="26">
        <v>0</v>
      </c>
      <c r="CD87" s="26">
        <v>0</v>
      </c>
      <c r="CE87" s="63">
        <f t="shared" si="1"/>
        <v>16</v>
      </c>
      <c r="CF87" s="63">
        <f t="shared" si="2"/>
        <v>34</v>
      </c>
      <c r="CG87" s="64">
        <f t="shared" si="3"/>
        <v>14.571428571428571</v>
      </c>
      <c r="CH87" s="114">
        <v>10</v>
      </c>
      <c r="CI87" s="115">
        <f t="shared" si="4"/>
        <v>24.571428571428569</v>
      </c>
    </row>
    <row r="88" spans="1:87" ht="15" customHeight="1">
      <c r="A88" s="20">
        <v>66</v>
      </c>
      <c r="B88" s="122" t="s">
        <v>146</v>
      </c>
      <c r="C88" s="106" t="s">
        <v>168</v>
      </c>
      <c r="D88" s="109" t="s">
        <v>171</v>
      </c>
      <c r="E88" s="110"/>
      <c r="F88" s="21">
        <v>0</v>
      </c>
      <c r="G88" s="22">
        <v>0</v>
      </c>
      <c r="H88" s="22">
        <v>0</v>
      </c>
      <c r="I88" s="22">
        <v>0</v>
      </c>
      <c r="J88" s="22">
        <v>1</v>
      </c>
      <c r="K88" s="22">
        <v>0</v>
      </c>
      <c r="L88" s="22">
        <v>0</v>
      </c>
      <c r="M88" s="22">
        <v>1</v>
      </c>
      <c r="N88" s="22">
        <v>0</v>
      </c>
      <c r="O88" s="22">
        <v>1</v>
      </c>
      <c r="P88" s="22">
        <v>1</v>
      </c>
      <c r="Q88" s="22">
        <v>1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3">
        <v>1</v>
      </c>
      <c r="Y88" s="23">
        <v>0</v>
      </c>
      <c r="Z88" s="23">
        <v>0</v>
      </c>
      <c r="AA88" s="23">
        <v>0</v>
      </c>
      <c r="AB88" s="22">
        <v>0</v>
      </c>
      <c r="AC88" s="22">
        <v>1</v>
      </c>
      <c r="AD88" s="22">
        <v>1</v>
      </c>
      <c r="AE88" s="22">
        <v>0</v>
      </c>
      <c r="AF88" s="22">
        <v>1</v>
      </c>
      <c r="AG88" s="22">
        <v>0</v>
      </c>
      <c r="AH88" s="22">
        <v>0</v>
      </c>
      <c r="AI88" s="22">
        <v>1</v>
      </c>
      <c r="AJ88" s="22">
        <v>0</v>
      </c>
      <c r="AK88" s="22">
        <v>0</v>
      </c>
      <c r="AL88" s="22">
        <v>0</v>
      </c>
      <c r="AM88" s="22">
        <v>0</v>
      </c>
      <c r="AN88" s="40">
        <f t="shared" ref="AN88:AN151" si="5">SUM(F88:AM88)</f>
        <v>10</v>
      </c>
      <c r="AO88" s="25">
        <v>1</v>
      </c>
      <c r="AP88" s="26">
        <v>0</v>
      </c>
      <c r="AQ88" s="26">
        <v>0</v>
      </c>
      <c r="AR88" s="26">
        <v>0</v>
      </c>
      <c r="AS88" s="26">
        <v>0</v>
      </c>
      <c r="AT88" s="26">
        <v>0</v>
      </c>
      <c r="AU88" s="26">
        <v>0</v>
      </c>
      <c r="AV88" s="26">
        <v>1</v>
      </c>
      <c r="AW88" s="26">
        <v>0</v>
      </c>
      <c r="AX88" s="26">
        <v>0</v>
      </c>
      <c r="AY88" s="26">
        <v>2</v>
      </c>
      <c r="AZ88" s="26">
        <v>0</v>
      </c>
      <c r="BA88" s="26">
        <v>3</v>
      </c>
      <c r="BB88" s="26">
        <v>0</v>
      </c>
      <c r="BC88" s="26">
        <v>2</v>
      </c>
      <c r="BD88" s="26">
        <v>1</v>
      </c>
      <c r="BE88" s="26">
        <v>0</v>
      </c>
      <c r="BF88" s="26">
        <v>0</v>
      </c>
      <c r="BG88" s="26">
        <v>0</v>
      </c>
      <c r="BH88" s="26">
        <v>3</v>
      </c>
      <c r="BI88" s="26">
        <v>0</v>
      </c>
      <c r="BJ88" s="26">
        <v>0</v>
      </c>
      <c r="BK88" s="26">
        <v>2</v>
      </c>
      <c r="BL88" s="26">
        <v>0</v>
      </c>
      <c r="BM88" s="26">
        <v>0</v>
      </c>
      <c r="BN88" s="26">
        <v>0</v>
      </c>
      <c r="BO88" s="26">
        <v>1</v>
      </c>
      <c r="BP88" s="26">
        <v>0</v>
      </c>
      <c r="BQ88" s="26">
        <v>2</v>
      </c>
      <c r="BR88" s="26">
        <v>0</v>
      </c>
      <c r="BS88" s="26">
        <v>1</v>
      </c>
      <c r="BT88" s="26">
        <v>0</v>
      </c>
      <c r="BU88" s="26">
        <v>2</v>
      </c>
      <c r="BV88" s="26">
        <v>0</v>
      </c>
      <c r="BW88" s="26">
        <v>0</v>
      </c>
      <c r="BX88" s="26">
        <v>0</v>
      </c>
      <c r="BY88" s="26">
        <v>0</v>
      </c>
      <c r="BZ88" s="26">
        <v>0</v>
      </c>
      <c r="CA88" s="26">
        <v>1</v>
      </c>
      <c r="CB88" s="26">
        <v>0</v>
      </c>
      <c r="CC88" s="26">
        <v>0</v>
      </c>
      <c r="CD88" s="26">
        <v>0</v>
      </c>
      <c r="CE88" s="63">
        <f t="shared" ref="CE88:CE151" si="6">SUM(AO88:CD88)</f>
        <v>22</v>
      </c>
      <c r="CF88" s="63">
        <f t="shared" ref="CF88:CF151" si="7">SUM(AN88,CE88)</f>
        <v>32</v>
      </c>
      <c r="CG88" s="64">
        <f t="shared" ref="CG88:CG151" si="8">SUM(CF88/140*60)</f>
        <v>13.714285714285714</v>
      </c>
      <c r="CH88" s="114">
        <v>9</v>
      </c>
      <c r="CI88" s="115">
        <f t="shared" ref="CI88:CI151" si="9">SUM(CG88,CH88)</f>
        <v>22.714285714285715</v>
      </c>
    </row>
    <row r="89" spans="1:87" ht="15" customHeight="1">
      <c r="A89" s="20">
        <v>67</v>
      </c>
      <c r="B89" s="121" t="s">
        <v>147</v>
      </c>
      <c r="C89" s="106" t="s">
        <v>168</v>
      </c>
      <c r="D89" s="109" t="s">
        <v>171</v>
      </c>
      <c r="E89" s="110"/>
      <c r="F89" s="21">
        <v>0</v>
      </c>
      <c r="G89" s="22">
        <v>0</v>
      </c>
      <c r="H89" s="22">
        <v>0</v>
      </c>
      <c r="I89" s="22">
        <v>1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1</v>
      </c>
      <c r="R89" s="22">
        <v>1</v>
      </c>
      <c r="S89" s="22">
        <v>1</v>
      </c>
      <c r="T89" s="22">
        <v>1</v>
      </c>
      <c r="U89" s="22">
        <v>0</v>
      </c>
      <c r="V89" s="22">
        <v>0</v>
      </c>
      <c r="W89" s="22">
        <v>0</v>
      </c>
      <c r="X89" s="23">
        <v>0</v>
      </c>
      <c r="Y89" s="23">
        <v>0</v>
      </c>
      <c r="Z89" s="23">
        <v>0</v>
      </c>
      <c r="AA89" s="23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1</v>
      </c>
      <c r="AG89" s="22">
        <v>0</v>
      </c>
      <c r="AH89" s="22">
        <v>0</v>
      </c>
      <c r="AI89" s="22">
        <v>1</v>
      </c>
      <c r="AJ89" s="22">
        <v>1</v>
      </c>
      <c r="AK89" s="22">
        <v>0</v>
      </c>
      <c r="AL89" s="22">
        <v>0</v>
      </c>
      <c r="AM89" s="22">
        <v>0</v>
      </c>
      <c r="AN89" s="40">
        <f t="shared" si="5"/>
        <v>8</v>
      </c>
      <c r="AO89" s="25">
        <v>0</v>
      </c>
      <c r="AP89" s="26">
        <v>1</v>
      </c>
      <c r="AQ89" s="26">
        <v>1</v>
      </c>
      <c r="AR89" s="26">
        <v>0</v>
      </c>
      <c r="AS89" s="26">
        <v>0</v>
      </c>
      <c r="AT89" s="26">
        <v>1</v>
      </c>
      <c r="AU89" s="26">
        <v>1</v>
      </c>
      <c r="AV89" s="26" t="s">
        <v>172</v>
      </c>
      <c r="AW89" s="26">
        <v>1</v>
      </c>
      <c r="AX89" s="26">
        <v>0</v>
      </c>
      <c r="AY89" s="26">
        <v>2</v>
      </c>
      <c r="AZ89" s="26">
        <v>1</v>
      </c>
      <c r="BA89" s="26">
        <v>0</v>
      </c>
      <c r="BB89" s="26">
        <v>2</v>
      </c>
      <c r="BC89" s="26">
        <v>2</v>
      </c>
      <c r="BD89" s="26">
        <v>0</v>
      </c>
      <c r="BE89" s="26">
        <v>0</v>
      </c>
      <c r="BF89" s="26">
        <v>0</v>
      </c>
      <c r="BG89" s="26">
        <v>1</v>
      </c>
      <c r="BH89" s="26">
        <v>3</v>
      </c>
      <c r="BI89" s="26">
        <v>0</v>
      </c>
      <c r="BJ89" s="26">
        <v>0</v>
      </c>
      <c r="BK89" s="26">
        <v>0</v>
      </c>
      <c r="BL89" s="26">
        <v>0</v>
      </c>
      <c r="BM89" s="26">
        <v>0</v>
      </c>
      <c r="BN89" s="26">
        <v>0</v>
      </c>
      <c r="BO89" s="26">
        <v>1</v>
      </c>
      <c r="BP89" s="26">
        <v>0</v>
      </c>
      <c r="BQ89" s="26">
        <v>1</v>
      </c>
      <c r="BR89" s="26">
        <v>0</v>
      </c>
      <c r="BS89" s="26">
        <v>2</v>
      </c>
      <c r="BT89" s="26">
        <v>2</v>
      </c>
      <c r="BU89" s="26">
        <v>2</v>
      </c>
      <c r="BV89" s="26">
        <v>0</v>
      </c>
      <c r="BW89" s="26">
        <v>2</v>
      </c>
      <c r="BX89" s="26">
        <v>0</v>
      </c>
      <c r="BY89" s="26">
        <v>0</v>
      </c>
      <c r="BZ89" s="26">
        <v>0</v>
      </c>
      <c r="CA89" s="26">
        <v>2</v>
      </c>
      <c r="CB89" s="26">
        <v>0</v>
      </c>
      <c r="CC89" s="26">
        <v>0</v>
      </c>
      <c r="CD89" s="26">
        <v>0</v>
      </c>
      <c r="CE89" s="63">
        <f t="shared" si="6"/>
        <v>28</v>
      </c>
      <c r="CF89" s="63">
        <f t="shared" si="7"/>
        <v>36</v>
      </c>
      <c r="CG89" s="64">
        <f t="shared" si="8"/>
        <v>15.428571428571427</v>
      </c>
      <c r="CH89" s="114">
        <v>9</v>
      </c>
      <c r="CI89" s="115">
        <f t="shared" si="9"/>
        <v>24.428571428571427</v>
      </c>
    </row>
    <row r="90" spans="1:87" ht="15" customHeight="1">
      <c r="A90" s="20">
        <v>68</v>
      </c>
      <c r="B90" s="117" t="s">
        <v>148</v>
      </c>
      <c r="C90" s="106" t="s">
        <v>169</v>
      </c>
      <c r="D90" s="109" t="s">
        <v>170</v>
      </c>
      <c r="E90" s="110"/>
      <c r="F90" s="21">
        <v>0</v>
      </c>
      <c r="G90" s="22">
        <v>1</v>
      </c>
      <c r="H90" s="22">
        <v>0</v>
      </c>
      <c r="I90" s="22">
        <v>1</v>
      </c>
      <c r="J90" s="22">
        <v>0</v>
      </c>
      <c r="K90" s="22">
        <v>0</v>
      </c>
      <c r="L90" s="22" t="s">
        <v>172</v>
      </c>
      <c r="M90" s="22">
        <v>2</v>
      </c>
      <c r="N90" s="22" t="s">
        <v>172</v>
      </c>
      <c r="O90" s="22" t="s">
        <v>172</v>
      </c>
      <c r="P90" s="22" t="s">
        <v>172</v>
      </c>
      <c r="Q90" s="22">
        <v>1</v>
      </c>
      <c r="R90" s="22" t="s">
        <v>172</v>
      </c>
      <c r="S90" s="22" t="s">
        <v>172</v>
      </c>
      <c r="T90" s="22">
        <v>1</v>
      </c>
      <c r="U90" s="22" t="s">
        <v>172</v>
      </c>
      <c r="V90" s="22" t="s">
        <v>172</v>
      </c>
      <c r="W90" s="22" t="s">
        <v>172</v>
      </c>
      <c r="X90" s="23" t="s">
        <v>172</v>
      </c>
      <c r="Y90" s="23" t="s">
        <v>172</v>
      </c>
      <c r="Z90" s="23" t="s">
        <v>172</v>
      </c>
      <c r="AA90" s="23">
        <v>1</v>
      </c>
      <c r="AB90" s="22">
        <v>0</v>
      </c>
      <c r="AC90" s="22" t="s">
        <v>172</v>
      </c>
      <c r="AD90" s="22" t="s">
        <v>172</v>
      </c>
      <c r="AE90" s="22" t="s">
        <v>172</v>
      </c>
      <c r="AF90" s="22" t="s">
        <v>172</v>
      </c>
      <c r="AG90" s="22" t="s">
        <v>172</v>
      </c>
      <c r="AH90" s="22" t="s">
        <v>172</v>
      </c>
      <c r="AI90" s="22">
        <v>1</v>
      </c>
      <c r="AJ90" s="22" t="s">
        <v>172</v>
      </c>
      <c r="AK90" s="22" t="s">
        <v>172</v>
      </c>
      <c r="AL90" s="22" t="s">
        <v>172</v>
      </c>
      <c r="AM90" s="22" t="s">
        <v>172</v>
      </c>
      <c r="AN90" s="40">
        <f t="shared" si="5"/>
        <v>8</v>
      </c>
      <c r="AO90" s="25" t="s">
        <v>172</v>
      </c>
      <c r="AP90" s="26" t="s">
        <v>172</v>
      </c>
      <c r="AQ90" s="26" t="s">
        <v>172</v>
      </c>
      <c r="AR90" s="26" t="s">
        <v>172</v>
      </c>
      <c r="AS90" s="26" t="s">
        <v>172</v>
      </c>
      <c r="AT90" s="26" t="s">
        <v>172</v>
      </c>
      <c r="AU90" s="26" t="s">
        <v>172</v>
      </c>
      <c r="AV90" s="26" t="s">
        <v>172</v>
      </c>
      <c r="AW90" s="26" t="s">
        <v>172</v>
      </c>
      <c r="AX90" s="26" t="s">
        <v>172</v>
      </c>
      <c r="AY90" s="26">
        <v>0</v>
      </c>
      <c r="AZ90" s="26">
        <v>0</v>
      </c>
      <c r="BA90" s="26" t="s">
        <v>172</v>
      </c>
      <c r="BB90" s="26" t="s">
        <v>172</v>
      </c>
      <c r="BC90" s="26" t="s">
        <v>172</v>
      </c>
      <c r="BD90" s="26">
        <v>1</v>
      </c>
      <c r="BE90" s="26">
        <v>1</v>
      </c>
      <c r="BF90" s="26">
        <v>1</v>
      </c>
      <c r="BG90" s="26">
        <v>1</v>
      </c>
      <c r="BH90" s="26">
        <v>1</v>
      </c>
      <c r="BI90" s="26" t="s">
        <v>172</v>
      </c>
      <c r="BJ90" s="26" t="s">
        <v>172</v>
      </c>
      <c r="BK90" s="26" t="s">
        <v>172</v>
      </c>
      <c r="BL90" s="26" t="s">
        <v>172</v>
      </c>
      <c r="BM90" s="26" t="s">
        <v>172</v>
      </c>
      <c r="BN90" s="26">
        <v>0</v>
      </c>
      <c r="BO90" s="26">
        <v>0</v>
      </c>
      <c r="BP90" s="26" t="s">
        <v>172</v>
      </c>
      <c r="BQ90" s="26" t="s">
        <v>172</v>
      </c>
      <c r="BR90" s="26" t="s">
        <v>172</v>
      </c>
      <c r="BS90" s="26" t="s">
        <v>172</v>
      </c>
      <c r="BT90" s="26" t="s">
        <v>172</v>
      </c>
      <c r="BU90" s="26">
        <v>2</v>
      </c>
      <c r="BV90" s="26" t="s">
        <v>172</v>
      </c>
      <c r="BW90" s="26" t="s">
        <v>172</v>
      </c>
      <c r="BX90" s="26" t="s">
        <v>172</v>
      </c>
      <c r="BY90" s="26">
        <v>2</v>
      </c>
      <c r="BZ90" s="26" t="s">
        <v>172</v>
      </c>
      <c r="CA90" s="26">
        <v>2</v>
      </c>
      <c r="CB90" s="26" t="s">
        <v>172</v>
      </c>
      <c r="CC90" s="26" t="s">
        <v>172</v>
      </c>
      <c r="CD90" s="26" t="s">
        <v>172</v>
      </c>
      <c r="CE90" s="63">
        <f t="shared" si="6"/>
        <v>11</v>
      </c>
      <c r="CF90" s="63">
        <f t="shared" si="7"/>
        <v>19</v>
      </c>
      <c r="CG90" s="64">
        <f t="shared" si="8"/>
        <v>8.1428571428571423</v>
      </c>
      <c r="CH90" s="114">
        <v>22.13</v>
      </c>
      <c r="CI90" s="115">
        <f t="shared" si="9"/>
        <v>30.272857142857141</v>
      </c>
    </row>
    <row r="91" spans="1:87" ht="15.75" customHeight="1">
      <c r="A91" s="20">
        <v>69</v>
      </c>
      <c r="B91" s="118" t="s">
        <v>149</v>
      </c>
      <c r="C91" s="106" t="s">
        <v>169</v>
      </c>
      <c r="D91" s="109" t="s">
        <v>170</v>
      </c>
      <c r="E91" s="110"/>
      <c r="F91" s="21">
        <v>0</v>
      </c>
      <c r="G91" s="22" t="s">
        <v>172</v>
      </c>
      <c r="H91" s="22">
        <v>0</v>
      </c>
      <c r="I91" s="22">
        <v>1</v>
      </c>
      <c r="J91" s="22">
        <v>0</v>
      </c>
      <c r="K91" s="22">
        <v>0</v>
      </c>
      <c r="L91" s="22" t="s">
        <v>172</v>
      </c>
      <c r="M91" s="22" t="s">
        <v>172</v>
      </c>
      <c r="N91" s="22">
        <v>1</v>
      </c>
      <c r="O91" s="22">
        <v>1</v>
      </c>
      <c r="P91" s="22">
        <v>0</v>
      </c>
      <c r="Q91" s="22">
        <v>1</v>
      </c>
      <c r="R91" s="22" t="s">
        <v>172</v>
      </c>
      <c r="S91" s="22">
        <v>0</v>
      </c>
      <c r="T91" s="22">
        <v>1</v>
      </c>
      <c r="U91" s="22">
        <v>0</v>
      </c>
      <c r="V91" s="22">
        <v>0</v>
      </c>
      <c r="W91" s="22" t="s">
        <v>172</v>
      </c>
      <c r="X91" s="23">
        <v>0</v>
      </c>
      <c r="Y91" s="23">
        <v>0</v>
      </c>
      <c r="Z91" s="23">
        <v>0</v>
      </c>
      <c r="AA91" s="23">
        <v>1</v>
      </c>
      <c r="AB91" s="22">
        <v>0</v>
      </c>
      <c r="AC91" s="22" t="s">
        <v>172</v>
      </c>
      <c r="AD91" s="22" t="s">
        <v>172</v>
      </c>
      <c r="AE91" s="22" t="s">
        <v>172</v>
      </c>
      <c r="AF91" s="22" t="s">
        <v>172</v>
      </c>
      <c r="AG91" s="22" t="s">
        <v>172</v>
      </c>
      <c r="AH91" s="22" t="s">
        <v>172</v>
      </c>
      <c r="AI91" s="22">
        <v>0</v>
      </c>
      <c r="AJ91" s="22">
        <v>0</v>
      </c>
      <c r="AK91" s="22">
        <v>0</v>
      </c>
      <c r="AL91" s="22">
        <v>0</v>
      </c>
      <c r="AM91" s="22">
        <v>0</v>
      </c>
      <c r="AN91" s="40">
        <f t="shared" si="5"/>
        <v>6</v>
      </c>
      <c r="AO91" s="25">
        <v>0</v>
      </c>
      <c r="AP91" s="26">
        <v>1</v>
      </c>
      <c r="AQ91" s="26">
        <v>0</v>
      </c>
      <c r="AR91" s="26" t="s">
        <v>172</v>
      </c>
      <c r="AS91" s="26">
        <v>0</v>
      </c>
      <c r="AT91" s="26">
        <v>0</v>
      </c>
      <c r="AU91" s="26">
        <v>0</v>
      </c>
      <c r="AV91" s="26">
        <v>0</v>
      </c>
      <c r="AW91" s="26">
        <v>0</v>
      </c>
      <c r="AX91" s="26" t="s">
        <v>172</v>
      </c>
      <c r="AY91" s="26">
        <v>0</v>
      </c>
      <c r="AZ91" s="26">
        <v>0</v>
      </c>
      <c r="BA91" s="26">
        <v>0</v>
      </c>
      <c r="BB91" s="26">
        <v>2</v>
      </c>
      <c r="BC91" s="26">
        <v>0</v>
      </c>
      <c r="BD91" s="26">
        <v>0</v>
      </c>
      <c r="BE91" s="26">
        <v>0</v>
      </c>
      <c r="BF91" s="26">
        <v>0</v>
      </c>
      <c r="BG91" s="26">
        <v>1</v>
      </c>
      <c r="BH91" s="26" t="s">
        <v>172</v>
      </c>
      <c r="BI91" s="26">
        <v>0</v>
      </c>
      <c r="BJ91" s="26">
        <v>0</v>
      </c>
      <c r="BK91" s="26" t="s">
        <v>172</v>
      </c>
      <c r="BL91" s="26" t="s">
        <v>172</v>
      </c>
      <c r="BM91" s="26">
        <v>0</v>
      </c>
      <c r="BN91" s="26">
        <v>0</v>
      </c>
      <c r="BO91" s="26">
        <v>0</v>
      </c>
      <c r="BP91" s="26" t="s">
        <v>172</v>
      </c>
      <c r="BQ91" s="26" t="s">
        <v>172</v>
      </c>
      <c r="BR91" s="26" t="s">
        <v>172</v>
      </c>
      <c r="BS91" s="26" t="s">
        <v>172</v>
      </c>
      <c r="BT91" s="26" t="s">
        <v>172</v>
      </c>
      <c r="BU91" s="26">
        <v>1</v>
      </c>
      <c r="BV91" s="26">
        <v>0</v>
      </c>
      <c r="BW91" s="26">
        <v>0</v>
      </c>
      <c r="BX91" s="26">
        <v>0</v>
      </c>
      <c r="BY91" s="26">
        <v>0</v>
      </c>
      <c r="BZ91" s="26">
        <v>0</v>
      </c>
      <c r="CA91" s="26">
        <v>2</v>
      </c>
      <c r="CB91" s="26" t="s">
        <v>172</v>
      </c>
      <c r="CC91" s="26">
        <v>0</v>
      </c>
      <c r="CD91" s="26">
        <v>0</v>
      </c>
      <c r="CE91" s="63">
        <f t="shared" si="6"/>
        <v>7</v>
      </c>
      <c r="CF91" s="63">
        <f t="shared" si="7"/>
        <v>13</v>
      </c>
      <c r="CG91" s="64">
        <f t="shared" si="8"/>
        <v>5.5714285714285712</v>
      </c>
      <c r="CH91" s="114">
        <v>9.4</v>
      </c>
      <c r="CI91" s="115">
        <f t="shared" si="9"/>
        <v>14.971428571428572</v>
      </c>
    </row>
    <row r="92" spans="1:87" ht="15" customHeight="1">
      <c r="A92" s="20">
        <v>70</v>
      </c>
      <c r="B92" s="117" t="s">
        <v>150</v>
      </c>
      <c r="C92" s="106" t="s">
        <v>169</v>
      </c>
      <c r="D92" s="109" t="s">
        <v>170</v>
      </c>
      <c r="E92" s="110"/>
      <c r="F92" s="21">
        <v>0</v>
      </c>
      <c r="G92" s="22">
        <v>0</v>
      </c>
      <c r="H92" s="22">
        <v>0</v>
      </c>
      <c r="I92" s="22">
        <v>1</v>
      </c>
      <c r="J92" s="22">
        <v>0</v>
      </c>
      <c r="K92" s="22">
        <v>0</v>
      </c>
      <c r="L92" s="22">
        <v>0</v>
      </c>
      <c r="M92" s="22">
        <v>1</v>
      </c>
      <c r="N92" s="22">
        <v>1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1</v>
      </c>
      <c r="U92" s="22">
        <v>0</v>
      </c>
      <c r="V92" s="22">
        <v>0</v>
      </c>
      <c r="W92" s="22">
        <v>0</v>
      </c>
      <c r="X92" s="23">
        <v>0</v>
      </c>
      <c r="Y92" s="23">
        <v>0</v>
      </c>
      <c r="Z92" s="23">
        <v>0</v>
      </c>
      <c r="AA92" s="23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0</v>
      </c>
      <c r="AJ92" s="22">
        <v>0</v>
      </c>
      <c r="AK92" s="22">
        <v>0</v>
      </c>
      <c r="AL92" s="22">
        <v>0</v>
      </c>
      <c r="AM92" s="22">
        <v>0</v>
      </c>
      <c r="AN92" s="40">
        <f t="shared" si="5"/>
        <v>4</v>
      </c>
      <c r="AO92" s="25">
        <v>0</v>
      </c>
      <c r="AP92" s="26">
        <v>0</v>
      </c>
      <c r="AQ92" s="26">
        <v>1</v>
      </c>
      <c r="AR92" s="26">
        <v>0</v>
      </c>
      <c r="AS92" s="26">
        <v>0</v>
      </c>
      <c r="AT92" s="26">
        <v>1</v>
      </c>
      <c r="AU92" s="26">
        <v>0</v>
      </c>
      <c r="AV92" s="26">
        <v>1</v>
      </c>
      <c r="AW92" s="26">
        <v>1</v>
      </c>
      <c r="AX92" s="26">
        <v>0</v>
      </c>
      <c r="AY92" s="26">
        <v>0</v>
      </c>
      <c r="AZ92" s="26">
        <v>0</v>
      </c>
      <c r="BA92" s="26">
        <v>0</v>
      </c>
      <c r="BB92" s="26">
        <v>0</v>
      </c>
      <c r="BC92" s="26">
        <v>0</v>
      </c>
      <c r="BD92" s="26">
        <v>0</v>
      </c>
      <c r="BE92" s="26">
        <v>0</v>
      </c>
      <c r="BF92" s="26">
        <v>0</v>
      </c>
      <c r="BG92" s="26">
        <v>1</v>
      </c>
      <c r="BH92" s="26">
        <v>0</v>
      </c>
      <c r="BI92" s="26">
        <v>0</v>
      </c>
      <c r="BJ92" s="26">
        <v>0</v>
      </c>
      <c r="BK92" s="26">
        <v>0</v>
      </c>
      <c r="BL92" s="26" t="s">
        <v>172</v>
      </c>
      <c r="BM92" s="26">
        <v>0</v>
      </c>
      <c r="BN92" s="26">
        <v>0</v>
      </c>
      <c r="BO92" s="26">
        <v>0</v>
      </c>
      <c r="BP92" s="26">
        <v>0</v>
      </c>
      <c r="BQ92" s="26">
        <v>1</v>
      </c>
      <c r="BR92" s="26">
        <v>0</v>
      </c>
      <c r="BS92" s="26">
        <v>0</v>
      </c>
      <c r="BT92" s="26">
        <v>0</v>
      </c>
      <c r="BU92" s="26">
        <v>1</v>
      </c>
      <c r="BV92" s="26">
        <v>0</v>
      </c>
      <c r="BW92" s="26">
        <v>0</v>
      </c>
      <c r="BX92" s="26">
        <v>0</v>
      </c>
      <c r="BY92" s="26">
        <v>2</v>
      </c>
      <c r="BZ92" s="26">
        <v>0</v>
      </c>
      <c r="CA92" s="26">
        <v>1</v>
      </c>
      <c r="CB92" s="26">
        <v>0</v>
      </c>
      <c r="CC92" s="26">
        <v>0</v>
      </c>
      <c r="CD92" s="26">
        <v>0</v>
      </c>
      <c r="CE92" s="63">
        <f t="shared" si="6"/>
        <v>10</v>
      </c>
      <c r="CF92" s="63">
        <f t="shared" si="7"/>
        <v>14</v>
      </c>
      <c r="CG92" s="64">
        <f t="shared" si="8"/>
        <v>6</v>
      </c>
      <c r="CH92" s="114">
        <v>11.6</v>
      </c>
      <c r="CI92" s="115">
        <f t="shared" si="9"/>
        <v>17.600000000000001</v>
      </c>
    </row>
    <row r="93" spans="1:87" ht="15" customHeight="1">
      <c r="A93" s="20">
        <v>71</v>
      </c>
      <c r="B93" s="117" t="s">
        <v>151</v>
      </c>
      <c r="C93" s="106" t="s">
        <v>169</v>
      </c>
      <c r="D93" s="109" t="s">
        <v>170</v>
      </c>
      <c r="E93" s="110"/>
      <c r="F93" s="21">
        <v>0</v>
      </c>
      <c r="G93" s="22">
        <v>1</v>
      </c>
      <c r="H93" s="22">
        <v>0</v>
      </c>
      <c r="I93" s="22">
        <v>0</v>
      </c>
      <c r="J93" s="22">
        <v>0</v>
      </c>
      <c r="K93" s="22">
        <v>1</v>
      </c>
      <c r="L93" s="22">
        <v>1</v>
      </c>
      <c r="M93" s="22">
        <v>0</v>
      </c>
      <c r="N93" s="22">
        <v>0</v>
      </c>
      <c r="O93" s="22">
        <v>1</v>
      </c>
      <c r="P93" s="22">
        <v>0</v>
      </c>
      <c r="Q93" s="22">
        <v>1</v>
      </c>
      <c r="R93" s="22">
        <v>0</v>
      </c>
      <c r="S93" s="22">
        <v>0</v>
      </c>
      <c r="T93" s="22">
        <v>2</v>
      </c>
      <c r="U93" s="22">
        <v>0</v>
      </c>
      <c r="V93" s="22">
        <v>0</v>
      </c>
      <c r="W93" s="22">
        <v>0</v>
      </c>
      <c r="X93" s="23">
        <v>0</v>
      </c>
      <c r="Y93" s="23">
        <v>0</v>
      </c>
      <c r="Z93" s="23">
        <v>0</v>
      </c>
      <c r="AA93" s="23">
        <v>0</v>
      </c>
      <c r="AB93" s="22">
        <v>0</v>
      </c>
      <c r="AC93" s="22">
        <v>0</v>
      </c>
      <c r="AD93" s="22">
        <v>0</v>
      </c>
      <c r="AE93" s="22">
        <v>2</v>
      </c>
      <c r="AF93" s="22">
        <v>0</v>
      </c>
      <c r="AG93" s="22">
        <v>0</v>
      </c>
      <c r="AH93" s="22">
        <v>0</v>
      </c>
      <c r="AI93" s="22">
        <v>0</v>
      </c>
      <c r="AJ93" s="22">
        <v>0</v>
      </c>
      <c r="AK93" s="22">
        <v>0</v>
      </c>
      <c r="AL93" s="22">
        <v>0</v>
      </c>
      <c r="AM93" s="22">
        <v>0</v>
      </c>
      <c r="AN93" s="40">
        <f t="shared" si="5"/>
        <v>9</v>
      </c>
      <c r="AO93" s="25">
        <v>1</v>
      </c>
      <c r="AP93" s="26">
        <v>1</v>
      </c>
      <c r="AQ93" s="26">
        <v>0</v>
      </c>
      <c r="AR93" s="26">
        <v>0</v>
      </c>
      <c r="AS93" s="26">
        <v>1</v>
      </c>
      <c r="AT93" s="26">
        <v>0</v>
      </c>
      <c r="AU93" s="26">
        <v>0</v>
      </c>
      <c r="AV93" s="26">
        <v>0</v>
      </c>
      <c r="AW93" s="26">
        <v>0</v>
      </c>
      <c r="AX93" s="26">
        <v>0</v>
      </c>
      <c r="AY93" s="26">
        <v>0</v>
      </c>
      <c r="AZ93" s="26">
        <v>0</v>
      </c>
      <c r="BA93" s="26">
        <v>0</v>
      </c>
      <c r="BB93" s="26">
        <v>0</v>
      </c>
      <c r="BC93" s="26">
        <v>0</v>
      </c>
      <c r="BD93" s="26">
        <v>0</v>
      </c>
      <c r="BE93" s="26">
        <v>0</v>
      </c>
      <c r="BF93" s="26">
        <v>0</v>
      </c>
      <c r="BG93" s="26">
        <v>1</v>
      </c>
      <c r="BH93" s="26">
        <v>0</v>
      </c>
      <c r="BI93" s="26">
        <v>0</v>
      </c>
      <c r="BJ93" s="26">
        <v>0</v>
      </c>
      <c r="BK93" s="26">
        <v>0</v>
      </c>
      <c r="BL93" s="26" t="s">
        <v>172</v>
      </c>
      <c r="BM93" s="26">
        <v>0</v>
      </c>
      <c r="BN93" s="26">
        <v>0</v>
      </c>
      <c r="BO93" s="26">
        <v>0</v>
      </c>
      <c r="BP93" s="26">
        <v>0</v>
      </c>
      <c r="BQ93" s="26">
        <v>1</v>
      </c>
      <c r="BR93" s="26">
        <v>0</v>
      </c>
      <c r="BS93" s="26">
        <v>2</v>
      </c>
      <c r="BT93" s="26">
        <v>3</v>
      </c>
      <c r="BU93" s="26">
        <v>2</v>
      </c>
      <c r="BV93" s="26">
        <v>0</v>
      </c>
      <c r="BW93" s="26">
        <v>0</v>
      </c>
      <c r="BX93" s="26">
        <v>0</v>
      </c>
      <c r="BY93" s="26">
        <v>2</v>
      </c>
      <c r="BZ93" s="26">
        <v>0</v>
      </c>
      <c r="CA93" s="26">
        <v>1</v>
      </c>
      <c r="CB93" s="26">
        <v>0</v>
      </c>
      <c r="CC93" s="26">
        <v>0</v>
      </c>
      <c r="CD93" s="26">
        <v>0</v>
      </c>
      <c r="CE93" s="63">
        <f t="shared" si="6"/>
        <v>15</v>
      </c>
      <c r="CF93" s="63">
        <f t="shared" si="7"/>
        <v>24</v>
      </c>
      <c r="CG93" s="64">
        <f t="shared" si="8"/>
        <v>10.285714285714286</v>
      </c>
      <c r="CH93" s="114">
        <v>12.4</v>
      </c>
      <c r="CI93" s="115">
        <f t="shared" si="9"/>
        <v>22.685714285714287</v>
      </c>
    </row>
    <row r="94" spans="1:87" ht="15" customHeight="1">
      <c r="A94" s="20">
        <v>72</v>
      </c>
      <c r="B94" s="117" t="s">
        <v>152</v>
      </c>
      <c r="C94" s="106" t="s">
        <v>169</v>
      </c>
      <c r="D94" s="109" t="s">
        <v>170</v>
      </c>
      <c r="E94" s="116"/>
      <c r="F94" s="21">
        <v>0</v>
      </c>
      <c r="G94" s="22">
        <v>0</v>
      </c>
      <c r="H94" s="22">
        <v>0</v>
      </c>
      <c r="I94" s="22">
        <v>0</v>
      </c>
      <c r="J94" s="22">
        <v>0</v>
      </c>
      <c r="K94" s="22">
        <v>1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1</v>
      </c>
      <c r="R94" s="22">
        <v>0</v>
      </c>
      <c r="S94" s="22">
        <v>0</v>
      </c>
      <c r="T94" s="22">
        <v>1</v>
      </c>
      <c r="U94" s="22">
        <v>0</v>
      </c>
      <c r="V94" s="22">
        <v>0</v>
      </c>
      <c r="W94" s="22">
        <v>0</v>
      </c>
      <c r="X94" s="23">
        <v>0</v>
      </c>
      <c r="Y94" s="23">
        <v>1</v>
      </c>
      <c r="Z94" s="23">
        <v>0</v>
      </c>
      <c r="AA94" s="23">
        <v>0</v>
      </c>
      <c r="AB94" s="22">
        <v>0</v>
      </c>
      <c r="AC94" s="22">
        <v>0</v>
      </c>
      <c r="AD94" s="22">
        <v>1</v>
      </c>
      <c r="AE94" s="22">
        <v>0</v>
      </c>
      <c r="AF94" s="22">
        <v>0</v>
      </c>
      <c r="AG94" s="22">
        <v>0</v>
      </c>
      <c r="AH94" s="22">
        <v>0</v>
      </c>
      <c r="AI94" s="22">
        <v>2</v>
      </c>
      <c r="AJ94" s="22">
        <v>0</v>
      </c>
      <c r="AK94" s="22">
        <v>0</v>
      </c>
      <c r="AL94" s="22">
        <v>0</v>
      </c>
      <c r="AM94" s="22">
        <v>0</v>
      </c>
      <c r="AN94" s="40">
        <f t="shared" si="5"/>
        <v>7</v>
      </c>
      <c r="AO94" s="25">
        <v>0</v>
      </c>
      <c r="AP94" s="26">
        <v>1</v>
      </c>
      <c r="AQ94" s="26">
        <v>1</v>
      </c>
      <c r="AR94" s="26">
        <v>0</v>
      </c>
      <c r="AS94" s="26">
        <v>0</v>
      </c>
      <c r="AT94" s="26">
        <v>0</v>
      </c>
      <c r="AU94" s="26">
        <v>0</v>
      </c>
      <c r="AV94" s="26">
        <v>0</v>
      </c>
      <c r="AW94" s="26">
        <v>0</v>
      </c>
      <c r="AX94" s="26">
        <v>0</v>
      </c>
      <c r="AY94" s="26">
        <v>0</v>
      </c>
      <c r="AZ94" s="26">
        <v>0</v>
      </c>
      <c r="BA94" s="26">
        <v>0</v>
      </c>
      <c r="BB94" s="26">
        <v>0</v>
      </c>
      <c r="BC94" s="26">
        <v>0</v>
      </c>
      <c r="BD94" s="26">
        <v>0</v>
      </c>
      <c r="BE94" s="26">
        <v>0</v>
      </c>
      <c r="BF94" s="26">
        <v>0</v>
      </c>
      <c r="BG94" s="26">
        <v>1</v>
      </c>
      <c r="BH94" s="26" t="s">
        <v>172</v>
      </c>
      <c r="BI94" s="26">
        <v>0</v>
      </c>
      <c r="BJ94" s="26">
        <v>0</v>
      </c>
      <c r="BK94" s="26">
        <v>0</v>
      </c>
      <c r="BL94" s="26" t="s">
        <v>172</v>
      </c>
      <c r="BM94" s="26">
        <v>0</v>
      </c>
      <c r="BN94" s="26">
        <v>0</v>
      </c>
      <c r="BO94" s="26">
        <v>0</v>
      </c>
      <c r="BP94" s="26">
        <v>0</v>
      </c>
      <c r="BQ94" s="26">
        <v>0</v>
      </c>
      <c r="BR94" s="26">
        <v>0</v>
      </c>
      <c r="BS94" s="26">
        <v>0</v>
      </c>
      <c r="BT94" s="26">
        <v>0</v>
      </c>
      <c r="BU94" s="26">
        <v>1</v>
      </c>
      <c r="BV94" s="26">
        <v>1</v>
      </c>
      <c r="BW94" s="26">
        <v>0</v>
      </c>
      <c r="BX94" s="26">
        <v>0</v>
      </c>
      <c r="BY94" s="26">
        <v>0</v>
      </c>
      <c r="BZ94" s="26">
        <v>0</v>
      </c>
      <c r="CA94" s="26">
        <v>1</v>
      </c>
      <c r="CB94" s="26">
        <v>0</v>
      </c>
      <c r="CC94" s="26">
        <v>0</v>
      </c>
      <c r="CD94" s="26">
        <v>0</v>
      </c>
      <c r="CE94" s="63">
        <f t="shared" si="6"/>
        <v>6</v>
      </c>
      <c r="CF94" s="63">
        <f t="shared" si="7"/>
        <v>13</v>
      </c>
      <c r="CG94" s="64">
        <f t="shared" si="8"/>
        <v>5.5714285714285712</v>
      </c>
      <c r="CH94" s="114">
        <v>11.2</v>
      </c>
      <c r="CI94" s="115">
        <f t="shared" si="9"/>
        <v>16.771428571428572</v>
      </c>
    </row>
    <row r="95" spans="1:87" ht="15" customHeight="1">
      <c r="A95" s="20">
        <v>73</v>
      </c>
      <c r="B95" s="117" t="s">
        <v>153</v>
      </c>
      <c r="C95" s="106" t="s">
        <v>169</v>
      </c>
      <c r="D95" s="109" t="s">
        <v>170</v>
      </c>
      <c r="E95" s="110"/>
      <c r="F95" s="21">
        <v>0</v>
      </c>
      <c r="G95" s="22">
        <v>0</v>
      </c>
      <c r="H95" s="22">
        <v>0</v>
      </c>
      <c r="I95" s="22">
        <v>1</v>
      </c>
      <c r="J95" s="22">
        <v>0</v>
      </c>
      <c r="K95" s="22">
        <v>1</v>
      </c>
      <c r="L95" s="22">
        <v>0</v>
      </c>
      <c r="M95" s="22">
        <v>0</v>
      </c>
      <c r="N95" s="22">
        <v>0</v>
      </c>
      <c r="O95" s="22">
        <v>1</v>
      </c>
      <c r="P95" s="22">
        <v>0</v>
      </c>
      <c r="Q95" s="22">
        <v>1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3">
        <v>0</v>
      </c>
      <c r="Y95" s="23">
        <v>0</v>
      </c>
      <c r="Z95" s="23">
        <v>1</v>
      </c>
      <c r="AA95" s="23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0</v>
      </c>
      <c r="AJ95" s="22">
        <v>0</v>
      </c>
      <c r="AK95" s="22">
        <v>0</v>
      </c>
      <c r="AL95" s="22">
        <v>0</v>
      </c>
      <c r="AM95" s="22">
        <v>0</v>
      </c>
      <c r="AN95" s="40">
        <f t="shared" si="5"/>
        <v>5</v>
      </c>
      <c r="AO95" s="25">
        <v>0</v>
      </c>
      <c r="AP95" s="26">
        <v>1</v>
      </c>
      <c r="AQ95" s="26">
        <v>0</v>
      </c>
      <c r="AR95" s="26">
        <v>0</v>
      </c>
      <c r="AS95" s="26">
        <v>0</v>
      </c>
      <c r="AT95" s="26">
        <v>0</v>
      </c>
      <c r="AU95" s="26">
        <v>0</v>
      </c>
      <c r="AV95" s="26">
        <v>0</v>
      </c>
      <c r="AW95" s="26">
        <v>1</v>
      </c>
      <c r="AX95" s="26">
        <v>0</v>
      </c>
      <c r="AY95" s="26">
        <v>0</v>
      </c>
      <c r="AZ95" s="26">
        <v>0</v>
      </c>
      <c r="BA95" s="26">
        <v>0</v>
      </c>
      <c r="BB95" s="26">
        <v>0</v>
      </c>
      <c r="BC95" s="26">
        <v>2</v>
      </c>
      <c r="BD95" s="26">
        <v>0</v>
      </c>
      <c r="BE95" s="26">
        <v>0</v>
      </c>
      <c r="BF95" s="26">
        <v>0</v>
      </c>
      <c r="BG95" s="26">
        <v>0</v>
      </c>
      <c r="BH95" s="26" t="s">
        <v>172</v>
      </c>
      <c r="BI95" s="26" t="s">
        <v>172</v>
      </c>
      <c r="BJ95" s="26" t="s">
        <v>172</v>
      </c>
      <c r="BK95" s="26" t="s">
        <v>172</v>
      </c>
      <c r="BL95" s="26" t="s">
        <v>172</v>
      </c>
      <c r="BM95" s="26">
        <v>0</v>
      </c>
      <c r="BN95" s="26">
        <v>0</v>
      </c>
      <c r="BO95" s="26">
        <v>0</v>
      </c>
      <c r="BP95" s="26">
        <v>0</v>
      </c>
      <c r="BQ95" s="26">
        <v>0</v>
      </c>
      <c r="BR95" s="26">
        <v>0</v>
      </c>
      <c r="BS95" s="26">
        <v>0</v>
      </c>
      <c r="BT95" s="26">
        <v>0</v>
      </c>
      <c r="BU95" s="26">
        <v>0</v>
      </c>
      <c r="BV95" s="26">
        <v>0</v>
      </c>
      <c r="BW95" s="26">
        <v>0</v>
      </c>
      <c r="BX95" s="26">
        <v>0</v>
      </c>
      <c r="BY95" s="26">
        <v>0</v>
      </c>
      <c r="BZ95" s="26" t="s">
        <v>172</v>
      </c>
      <c r="CA95" s="26">
        <v>2</v>
      </c>
      <c r="CB95" s="26">
        <v>0</v>
      </c>
      <c r="CC95" s="26">
        <v>0</v>
      </c>
      <c r="CD95" s="26">
        <v>0</v>
      </c>
      <c r="CE95" s="63">
        <f t="shared" si="6"/>
        <v>6</v>
      </c>
      <c r="CF95" s="63">
        <f t="shared" si="7"/>
        <v>11</v>
      </c>
      <c r="CG95" s="64">
        <f t="shared" si="8"/>
        <v>4.7142857142857144</v>
      </c>
      <c r="CH95" s="114">
        <v>5.8</v>
      </c>
      <c r="CI95" s="115">
        <f t="shared" si="9"/>
        <v>10.514285714285714</v>
      </c>
    </row>
    <row r="96" spans="1:87" ht="15.75" customHeight="1">
      <c r="A96" s="20">
        <v>74</v>
      </c>
      <c r="B96" s="117" t="s">
        <v>154</v>
      </c>
      <c r="C96" s="106" t="s">
        <v>169</v>
      </c>
      <c r="D96" s="109" t="s">
        <v>170</v>
      </c>
      <c r="E96" s="110"/>
      <c r="F96" s="21">
        <v>1</v>
      </c>
      <c r="G96" s="22">
        <v>0</v>
      </c>
      <c r="H96" s="22">
        <v>0</v>
      </c>
      <c r="I96" s="22">
        <v>1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1</v>
      </c>
      <c r="R96" s="22">
        <v>0</v>
      </c>
      <c r="S96" s="22">
        <v>0</v>
      </c>
      <c r="T96" s="22">
        <v>1</v>
      </c>
      <c r="U96" s="22">
        <v>0</v>
      </c>
      <c r="V96" s="22">
        <v>0</v>
      </c>
      <c r="W96" s="22">
        <v>0</v>
      </c>
      <c r="X96" s="23">
        <v>0</v>
      </c>
      <c r="Y96" s="23">
        <v>0</v>
      </c>
      <c r="Z96" s="23">
        <v>0</v>
      </c>
      <c r="AA96" s="23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1</v>
      </c>
      <c r="AJ96" s="22">
        <v>0</v>
      </c>
      <c r="AK96" s="22">
        <v>0</v>
      </c>
      <c r="AL96" s="22">
        <v>1</v>
      </c>
      <c r="AM96" s="22">
        <v>0</v>
      </c>
      <c r="AN96" s="40">
        <f t="shared" si="5"/>
        <v>6</v>
      </c>
      <c r="AO96" s="25">
        <v>1</v>
      </c>
      <c r="AP96" s="26">
        <v>0</v>
      </c>
      <c r="AQ96" s="26">
        <v>0</v>
      </c>
      <c r="AR96" s="26">
        <v>0</v>
      </c>
      <c r="AS96" s="26">
        <v>0</v>
      </c>
      <c r="AT96" s="26">
        <v>0</v>
      </c>
      <c r="AU96" s="26">
        <v>0</v>
      </c>
      <c r="AV96" s="26">
        <v>0</v>
      </c>
      <c r="AW96" s="26">
        <v>0</v>
      </c>
      <c r="AX96" s="26">
        <v>0</v>
      </c>
      <c r="AY96" s="26">
        <v>0</v>
      </c>
      <c r="AZ96" s="26">
        <v>0</v>
      </c>
      <c r="BA96" s="26">
        <v>0</v>
      </c>
      <c r="BB96" s="26">
        <v>2</v>
      </c>
      <c r="BC96" s="26">
        <v>0</v>
      </c>
      <c r="BD96" s="26">
        <v>1</v>
      </c>
      <c r="BE96" s="26">
        <v>0</v>
      </c>
      <c r="BF96" s="26">
        <v>0</v>
      </c>
      <c r="BG96" s="26">
        <v>1</v>
      </c>
      <c r="BH96" s="26" t="s">
        <v>172</v>
      </c>
      <c r="BI96" s="26">
        <v>0</v>
      </c>
      <c r="BJ96" s="26">
        <v>0</v>
      </c>
      <c r="BK96" s="26">
        <v>0</v>
      </c>
      <c r="BL96" s="26">
        <v>2</v>
      </c>
      <c r="BM96" s="26">
        <v>0</v>
      </c>
      <c r="BN96" s="26" t="s">
        <v>172</v>
      </c>
      <c r="BO96" s="26">
        <v>0</v>
      </c>
      <c r="BP96" s="26">
        <v>0</v>
      </c>
      <c r="BQ96" s="26" t="s">
        <v>172</v>
      </c>
      <c r="BR96" s="26">
        <v>0</v>
      </c>
      <c r="BS96" s="26">
        <v>2</v>
      </c>
      <c r="BT96" s="26">
        <v>2</v>
      </c>
      <c r="BU96" s="26">
        <v>2</v>
      </c>
      <c r="BV96" s="26">
        <v>0</v>
      </c>
      <c r="BW96" s="26">
        <v>0</v>
      </c>
      <c r="BX96" s="26">
        <v>0</v>
      </c>
      <c r="BY96" s="26">
        <v>2</v>
      </c>
      <c r="BZ96" s="26" t="s">
        <v>172</v>
      </c>
      <c r="CA96" s="26">
        <v>2</v>
      </c>
      <c r="CB96" s="26">
        <v>0</v>
      </c>
      <c r="CC96" s="26">
        <v>0</v>
      </c>
      <c r="CD96" s="26">
        <v>0</v>
      </c>
      <c r="CE96" s="63">
        <f t="shared" si="6"/>
        <v>17</v>
      </c>
      <c r="CF96" s="63">
        <f t="shared" si="7"/>
        <v>23</v>
      </c>
      <c r="CG96" s="64">
        <f t="shared" si="8"/>
        <v>9.8571428571428577</v>
      </c>
      <c r="CH96" s="114">
        <v>19.600000000000001</v>
      </c>
      <c r="CI96" s="115">
        <f t="shared" si="9"/>
        <v>29.457142857142859</v>
      </c>
    </row>
    <row r="97" spans="1:87" ht="15" customHeight="1">
      <c r="A97" s="20">
        <v>75</v>
      </c>
      <c r="B97" s="117" t="s">
        <v>155</v>
      </c>
      <c r="C97" s="106" t="s">
        <v>169</v>
      </c>
      <c r="D97" s="109" t="s">
        <v>170</v>
      </c>
      <c r="E97" s="110"/>
      <c r="F97" s="21">
        <v>0</v>
      </c>
      <c r="G97" s="22">
        <v>0</v>
      </c>
      <c r="H97" s="22">
        <v>0</v>
      </c>
      <c r="I97" s="22">
        <v>1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1</v>
      </c>
      <c r="R97" s="22">
        <v>0</v>
      </c>
      <c r="S97" s="22">
        <v>0</v>
      </c>
      <c r="T97" s="22">
        <v>1</v>
      </c>
      <c r="U97" s="22">
        <v>0</v>
      </c>
      <c r="V97" s="22">
        <v>0</v>
      </c>
      <c r="W97" s="22">
        <v>0</v>
      </c>
      <c r="X97" s="23">
        <v>0</v>
      </c>
      <c r="Y97" s="23">
        <v>0</v>
      </c>
      <c r="Z97" s="23">
        <v>0</v>
      </c>
      <c r="AA97" s="23">
        <v>0</v>
      </c>
      <c r="AB97" s="22">
        <v>2</v>
      </c>
      <c r="AC97" s="22">
        <v>0</v>
      </c>
      <c r="AD97" s="22">
        <v>1</v>
      </c>
      <c r="AE97" s="22">
        <v>0</v>
      </c>
      <c r="AF97" s="22">
        <v>0</v>
      </c>
      <c r="AG97" s="22">
        <v>0</v>
      </c>
      <c r="AH97" s="22">
        <v>0</v>
      </c>
      <c r="AI97" s="22">
        <v>0</v>
      </c>
      <c r="AJ97" s="22">
        <v>0</v>
      </c>
      <c r="AK97" s="22">
        <v>0</v>
      </c>
      <c r="AL97" s="22">
        <v>0</v>
      </c>
      <c r="AM97" s="22">
        <v>0</v>
      </c>
      <c r="AN97" s="40">
        <f t="shared" si="5"/>
        <v>6</v>
      </c>
      <c r="AO97" s="25">
        <v>0</v>
      </c>
      <c r="AP97" s="26">
        <v>1</v>
      </c>
      <c r="AQ97" s="26">
        <v>0</v>
      </c>
      <c r="AR97" s="26">
        <v>0</v>
      </c>
      <c r="AS97" s="26">
        <v>0</v>
      </c>
      <c r="AT97" s="26">
        <v>0</v>
      </c>
      <c r="AU97" s="26">
        <v>0</v>
      </c>
      <c r="AV97" s="26">
        <v>0</v>
      </c>
      <c r="AW97" s="26">
        <v>0</v>
      </c>
      <c r="AX97" s="26">
        <v>0</v>
      </c>
      <c r="AY97" s="26">
        <v>0</v>
      </c>
      <c r="AZ97" s="26">
        <v>0</v>
      </c>
      <c r="BA97" s="26">
        <v>1</v>
      </c>
      <c r="BB97" s="26">
        <v>0</v>
      </c>
      <c r="BC97" s="26">
        <v>0</v>
      </c>
      <c r="BD97" s="26">
        <v>1</v>
      </c>
      <c r="BE97" s="26">
        <v>0</v>
      </c>
      <c r="BF97" s="26">
        <v>1</v>
      </c>
      <c r="BG97" s="26">
        <v>0</v>
      </c>
      <c r="BH97" s="26">
        <v>1</v>
      </c>
      <c r="BI97" s="26">
        <v>0</v>
      </c>
      <c r="BJ97" s="26">
        <v>0</v>
      </c>
      <c r="BK97" s="26">
        <v>0</v>
      </c>
      <c r="BL97" s="26">
        <v>0</v>
      </c>
      <c r="BM97" s="26" t="s">
        <v>172</v>
      </c>
      <c r="BN97" s="26">
        <v>0</v>
      </c>
      <c r="BO97" s="26">
        <v>0</v>
      </c>
      <c r="BP97" s="26">
        <v>0</v>
      </c>
      <c r="BQ97" s="26">
        <v>0</v>
      </c>
      <c r="BR97" s="26">
        <v>0</v>
      </c>
      <c r="BS97" s="26" t="s">
        <v>172</v>
      </c>
      <c r="BT97" s="26">
        <v>2</v>
      </c>
      <c r="BU97" s="26">
        <v>2</v>
      </c>
      <c r="BV97" s="26">
        <v>1</v>
      </c>
      <c r="BW97" s="26">
        <v>0</v>
      </c>
      <c r="BX97" s="26">
        <v>2</v>
      </c>
      <c r="BY97" s="26">
        <v>0</v>
      </c>
      <c r="BZ97" s="26">
        <v>2</v>
      </c>
      <c r="CA97" s="26">
        <v>0</v>
      </c>
      <c r="CB97" s="26">
        <v>2</v>
      </c>
      <c r="CC97" s="26">
        <v>0</v>
      </c>
      <c r="CD97" s="26">
        <v>0</v>
      </c>
      <c r="CE97" s="63">
        <f t="shared" si="6"/>
        <v>16</v>
      </c>
      <c r="CF97" s="63">
        <f t="shared" si="7"/>
        <v>22</v>
      </c>
      <c r="CG97" s="64">
        <f t="shared" si="8"/>
        <v>9.4285714285714288</v>
      </c>
      <c r="CH97" s="114">
        <v>15</v>
      </c>
      <c r="CI97" s="115">
        <f t="shared" si="9"/>
        <v>24.428571428571431</v>
      </c>
    </row>
    <row r="98" spans="1:87" ht="15" customHeight="1">
      <c r="A98" s="20">
        <v>76</v>
      </c>
      <c r="B98" s="117" t="s">
        <v>156</v>
      </c>
      <c r="C98" s="106" t="s">
        <v>169</v>
      </c>
      <c r="D98" s="109" t="s">
        <v>170</v>
      </c>
      <c r="E98" s="110"/>
      <c r="F98" s="21">
        <v>0</v>
      </c>
      <c r="G98" s="22">
        <v>0</v>
      </c>
      <c r="H98" s="22">
        <v>0</v>
      </c>
      <c r="I98" s="22">
        <v>1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 t="s">
        <v>172</v>
      </c>
      <c r="P98" s="22" t="s">
        <v>172</v>
      </c>
      <c r="Q98" s="22" t="s">
        <v>172</v>
      </c>
      <c r="R98" s="22" t="s">
        <v>172</v>
      </c>
      <c r="S98" s="22">
        <v>0</v>
      </c>
      <c r="T98" s="22">
        <v>1</v>
      </c>
      <c r="U98" s="22">
        <v>0</v>
      </c>
      <c r="V98" s="22">
        <v>0</v>
      </c>
      <c r="W98" s="22">
        <v>0</v>
      </c>
      <c r="X98" s="23">
        <v>0</v>
      </c>
      <c r="Y98" s="23">
        <v>0</v>
      </c>
      <c r="Z98" s="23">
        <v>0</v>
      </c>
      <c r="AA98" s="23">
        <v>0</v>
      </c>
      <c r="AB98" s="22">
        <v>0</v>
      </c>
      <c r="AC98" s="22">
        <v>0</v>
      </c>
      <c r="AD98" s="22" t="s">
        <v>172</v>
      </c>
      <c r="AE98" s="22" t="s">
        <v>172</v>
      </c>
      <c r="AF98" s="22" t="s">
        <v>172</v>
      </c>
      <c r="AG98" s="22" t="s">
        <v>172</v>
      </c>
      <c r="AH98" s="22" t="s">
        <v>172</v>
      </c>
      <c r="AI98" s="22" t="s">
        <v>172</v>
      </c>
      <c r="AJ98" s="22" t="s">
        <v>172</v>
      </c>
      <c r="AK98" s="22" t="s">
        <v>172</v>
      </c>
      <c r="AL98" s="22" t="s">
        <v>172</v>
      </c>
      <c r="AM98" s="22" t="s">
        <v>172</v>
      </c>
      <c r="AN98" s="40">
        <f t="shared" si="5"/>
        <v>2</v>
      </c>
      <c r="AO98" s="25">
        <v>0</v>
      </c>
      <c r="AP98" s="26">
        <v>1</v>
      </c>
      <c r="AQ98" s="26">
        <v>0</v>
      </c>
      <c r="AR98" s="26">
        <v>0</v>
      </c>
      <c r="AS98" s="26">
        <v>0</v>
      </c>
      <c r="AT98" s="26">
        <v>0</v>
      </c>
      <c r="AU98" s="26">
        <v>0</v>
      </c>
      <c r="AV98" s="26" t="s">
        <v>172</v>
      </c>
      <c r="AW98" s="26">
        <v>0</v>
      </c>
      <c r="AX98" s="26" t="s">
        <v>172</v>
      </c>
      <c r="AY98" s="26">
        <v>2</v>
      </c>
      <c r="AZ98" s="26">
        <v>1</v>
      </c>
      <c r="BA98" s="26">
        <v>0</v>
      </c>
      <c r="BB98" s="26">
        <v>2</v>
      </c>
      <c r="BC98" s="26">
        <v>0</v>
      </c>
      <c r="BD98" s="26">
        <v>0</v>
      </c>
      <c r="BE98" s="26">
        <v>0</v>
      </c>
      <c r="BF98" s="26">
        <v>0</v>
      </c>
      <c r="BG98" s="26" t="s">
        <v>172</v>
      </c>
      <c r="BH98" s="26" t="s">
        <v>172</v>
      </c>
      <c r="BI98" s="26" t="s">
        <v>172</v>
      </c>
      <c r="BJ98" s="26" t="s">
        <v>172</v>
      </c>
      <c r="BK98" s="26" t="s">
        <v>172</v>
      </c>
      <c r="BL98" s="26" t="s">
        <v>172</v>
      </c>
      <c r="BM98" s="26" t="s">
        <v>172</v>
      </c>
      <c r="BN98" s="26" t="s">
        <v>172</v>
      </c>
      <c r="BO98" s="26" t="s">
        <v>172</v>
      </c>
      <c r="BP98" s="26" t="s">
        <v>172</v>
      </c>
      <c r="BQ98" s="26" t="s">
        <v>172</v>
      </c>
      <c r="BR98" s="26" t="s">
        <v>172</v>
      </c>
      <c r="BS98" s="26">
        <v>2</v>
      </c>
      <c r="BT98" s="26" t="s">
        <v>172</v>
      </c>
      <c r="BU98" s="26">
        <v>0</v>
      </c>
      <c r="BV98" s="26" t="s">
        <v>172</v>
      </c>
      <c r="BW98" s="26" t="s">
        <v>172</v>
      </c>
      <c r="BX98" s="26" t="s">
        <v>172</v>
      </c>
      <c r="BY98" s="26" t="s">
        <v>172</v>
      </c>
      <c r="BZ98" s="26" t="s">
        <v>172</v>
      </c>
      <c r="CA98" s="26">
        <v>1</v>
      </c>
      <c r="CB98" s="26" t="s">
        <v>172</v>
      </c>
      <c r="CC98" s="26">
        <v>0</v>
      </c>
      <c r="CD98" s="26" t="s">
        <v>172</v>
      </c>
      <c r="CE98" s="63">
        <f t="shared" si="6"/>
        <v>9</v>
      </c>
      <c r="CF98" s="63">
        <f t="shared" si="7"/>
        <v>11</v>
      </c>
      <c r="CG98" s="64">
        <f t="shared" si="8"/>
        <v>4.7142857142857144</v>
      </c>
      <c r="CH98" s="114">
        <v>10.8</v>
      </c>
      <c r="CI98" s="115">
        <f t="shared" si="9"/>
        <v>15.514285714285716</v>
      </c>
    </row>
    <row r="99" spans="1:87" ht="15" customHeight="1">
      <c r="A99" s="20">
        <v>77</v>
      </c>
      <c r="B99" s="117" t="s">
        <v>157</v>
      </c>
      <c r="C99" s="106" t="s">
        <v>169</v>
      </c>
      <c r="D99" s="109" t="s">
        <v>170</v>
      </c>
      <c r="E99" s="110"/>
      <c r="F99" s="21">
        <v>0</v>
      </c>
      <c r="G99" s="22">
        <v>0</v>
      </c>
      <c r="H99" s="22">
        <v>0</v>
      </c>
      <c r="I99" s="22">
        <v>1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2</v>
      </c>
      <c r="U99" s="22">
        <v>0</v>
      </c>
      <c r="V99" s="22">
        <v>0</v>
      </c>
      <c r="W99" s="22">
        <v>0</v>
      </c>
      <c r="X99" s="23">
        <v>0</v>
      </c>
      <c r="Y99" s="23">
        <v>0</v>
      </c>
      <c r="Z99" s="23">
        <v>0</v>
      </c>
      <c r="AA99" s="23">
        <v>0</v>
      </c>
      <c r="AB99" s="22">
        <v>0</v>
      </c>
      <c r="AC99" s="22">
        <v>0</v>
      </c>
      <c r="AD99" s="22">
        <v>0</v>
      </c>
      <c r="AE99" s="22" t="s">
        <v>172</v>
      </c>
      <c r="AF99" s="22" t="s">
        <v>172</v>
      </c>
      <c r="AG99" s="22" t="s">
        <v>172</v>
      </c>
      <c r="AH99" s="22" t="s">
        <v>172</v>
      </c>
      <c r="AI99" s="22">
        <v>0</v>
      </c>
      <c r="AJ99" s="22">
        <v>0</v>
      </c>
      <c r="AK99" s="22">
        <v>0</v>
      </c>
      <c r="AL99" s="22">
        <v>0</v>
      </c>
      <c r="AM99" s="22">
        <v>0</v>
      </c>
      <c r="AN99" s="40">
        <f t="shared" si="5"/>
        <v>3</v>
      </c>
      <c r="AO99" s="25">
        <v>0</v>
      </c>
      <c r="AP99" s="26">
        <v>0</v>
      </c>
      <c r="AQ99" s="26">
        <v>0</v>
      </c>
      <c r="AR99" s="26">
        <v>0</v>
      </c>
      <c r="AS99" s="26">
        <v>0</v>
      </c>
      <c r="AT99" s="26">
        <v>0</v>
      </c>
      <c r="AU99" s="26">
        <v>0</v>
      </c>
      <c r="AV99" s="26">
        <v>0</v>
      </c>
      <c r="AW99" s="26">
        <v>0</v>
      </c>
      <c r="AX99" s="26">
        <v>0</v>
      </c>
      <c r="AY99" s="26">
        <v>0</v>
      </c>
      <c r="AZ99" s="26">
        <v>0</v>
      </c>
      <c r="BA99" s="26">
        <v>0</v>
      </c>
      <c r="BB99" s="26">
        <v>0</v>
      </c>
      <c r="BC99" s="26">
        <v>0</v>
      </c>
      <c r="BD99" s="26">
        <v>0</v>
      </c>
      <c r="BE99" s="26">
        <v>0</v>
      </c>
      <c r="BF99" s="26">
        <v>0</v>
      </c>
      <c r="BG99" s="26">
        <v>0</v>
      </c>
      <c r="BH99" s="26">
        <v>0</v>
      </c>
      <c r="BI99" s="26">
        <v>0</v>
      </c>
      <c r="BJ99" s="26">
        <v>0</v>
      </c>
      <c r="BK99" s="26">
        <v>0</v>
      </c>
      <c r="BL99" s="26" t="s">
        <v>172</v>
      </c>
      <c r="BM99" s="26">
        <v>0</v>
      </c>
      <c r="BN99" s="26">
        <v>0</v>
      </c>
      <c r="BO99" s="26">
        <v>0</v>
      </c>
      <c r="BP99" s="26">
        <v>0</v>
      </c>
      <c r="BQ99" s="26" t="s">
        <v>172</v>
      </c>
      <c r="BR99" s="26">
        <v>0</v>
      </c>
      <c r="BS99" s="26">
        <v>0</v>
      </c>
      <c r="BT99" s="26">
        <v>0</v>
      </c>
      <c r="BU99" s="26">
        <v>0</v>
      </c>
      <c r="BV99" s="26">
        <v>0</v>
      </c>
      <c r="BW99" s="26">
        <v>0</v>
      </c>
      <c r="BX99" s="26">
        <v>0</v>
      </c>
      <c r="BY99" s="26">
        <v>0</v>
      </c>
      <c r="BZ99" s="26" t="s">
        <v>172</v>
      </c>
      <c r="CA99" s="26">
        <v>0</v>
      </c>
      <c r="CB99" s="26">
        <v>0</v>
      </c>
      <c r="CC99" s="26">
        <v>0</v>
      </c>
      <c r="CD99" s="26">
        <v>0</v>
      </c>
      <c r="CE99" s="63">
        <f t="shared" si="6"/>
        <v>0</v>
      </c>
      <c r="CF99" s="63">
        <f t="shared" si="7"/>
        <v>3</v>
      </c>
      <c r="CG99" s="64">
        <f t="shared" si="8"/>
        <v>1.2857142857142858</v>
      </c>
      <c r="CH99" s="114">
        <v>11.4</v>
      </c>
      <c r="CI99" s="115">
        <f t="shared" si="9"/>
        <v>12.685714285714287</v>
      </c>
    </row>
    <row r="100" spans="1:87" ht="15" customHeight="1">
      <c r="A100" s="20">
        <v>78</v>
      </c>
      <c r="B100" s="117" t="s">
        <v>158</v>
      </c>
      <c r="C100" s="106" t="s">
        <v>169</v>
      </c>
      <c r="D100" s="109" t="s">
        <v>170</v>
      </c>
      <c r="E100" s="110"/>
      <c r="F100" s="21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1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X100" s="23">
        <v>0</v>
      </c>
      <c r="Y100" s="23">
        <v>0</v>
      </c>
      <c r="Z100" s="23">
        <v>0</v>
      </c>
      <c r="AA100" s="23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0</v>
      </c>
      <c r="AJ100" s="22">
        <v>0</v>
      </c>
      <c r="AK100" s="22">
        <v>0</v>
      </c>
      <c r="AL100" s="22">
        <v>0</v>
      </c>
      <c r="AM100" s="22">
        <v>0</v>
      </c>
      <c r="AN100" s="40">
        <f t="shared" si="5"/>
        <v>1</v>
      </c>
      <c r="AO100" s="25">
        <v>0</v>
      </c>
      <c r="AP100" s="26">
        <v>0</v>
      </c>
      <c r="AQ100" s="26">
        <v>0</v>
      </c>
      <c r="AR100" s="26">
        <v>0</v>
      </c>
      <c r="AS100" s="26">
        <v>0</v>
      </c>
      <c r="AT100" s="26">
        <v>0</v>
      </c>
      <c r="AU100" s="26">
        <v>0</v>
      </c>
      <c r="AV100" s="26">
        <v>0</v>
      </c>
      <c r="AW100" s="26">
        <v>1</v>
      </c>
      <c r="AX100" s="26">
        <v>0</v>
      </c>
      <c r="AY100" s="26">
        <v>0</v>
      </c>
      <c r="AZ100" s="26">
        <v>0</v>
      </c>
      <c r="BA100" s="26">
        <v>0</v>
      </c>
      <c r="BB100" s="26">
        <v>0</v>
      </c>
      <c r="BC100" s="26">
        <v>0</v>
      </c>
      <c r="BD100" s="26">
        <v>0</v>
      </c>
      <c r="BE100" s="26">
        <v>0</v>
      </c>
      <c r="BF100" s="26">
        <v>0</v>
      </c>
      <c r="BG100" s="26">
        <v>1</v>
      </c>
      <c r="BH100" s="26">
        <v>0</v>
      </c>
      <c r="BI100" s="26">
        <v>0</v>
      </c>
      <c r="BJ100" s="26">
        <v>0</v>
      </c>
      <c r="BK100" s="26">
        <v>0</v>
      </c>
      <c r="BL100" s="26" t="s">
        <v>172</v>
      </c>
      <c r="BM100" s="26">
        <v>0</v>
      </c>
      <c r="BN100" s="26">
        <v>0</v>
      </c>
      <c r="BO100" s="26">
        <v>0</v>
      </c>
      <c r="BP100" s="26">
        <v>0</v>
      </c>
      <c r="BQ100" s="26">
        <v>0</v>
      </c>
      <c r="BR100" s="26">
        <v>0</v>
      </c>
      <c r="BS100" s="26">
        <v>0</v>
      </c>
      <c r="BT100" s="26">
        <v>0</v>
      </c>
      <c r="BU100" s="26">
        <v>1</v>
      </c>
      <c r="BV100" s="26">
        <v>0</v>
      </c>
      <c r="BW100" s="26">
        <v>0</v>
      </c>
      <c r="BX100" s="26">
        <v>0</v>
      </c>
      <c r="BY100" s="26">
        <v>0</v>
      </c>
      <c r="BZ100" s="26">
        <v>0</v>
      </c>
      <c r="CA100" s="26">
        <v>1</v>
      </c>
      <c r="CB100" s="26">
        <v>0</v>
      </c>
      <c r="CC100" s="26">
        <v>0</v>
      </c>
      <c r="CD100" s="26">
        <v>0</v>
      </c>
      <c r="CE100" s="63">
        <f t="shared" si="6"/>
        <v>4</v>
      </c>
      <c r="CF100" s="63">
        <f t="shared" si="7"/>
        <v>5</v>
      </c>
      <c r="CG100" s="64">
        <f t="shared" si="8"/>
        <v>2.1428571428571428</v>
      </c>
      <c r="CH100" s="114">
        <v>8.4</v>
      </c>
      <c r="CI100" s="115">
        <f t="shared" si="9"/>
        <v>10.542857142857143</v>
      </c>
    </row>
    <row r="101" spans="1:87" ht="15.75" customHeight="1">
      <c r="A101" s="20">
        <v>79</v>
      </c>
      <c r="B101" s="117" t="s">
        <v>159</v>
      </c>
      <c r="C101" s="106" t="s">
        <v>169</v>
      </c>
      <c r="D101" s="109" t="s">
        <v>170</v>
      </c>
      <c r="E101" s="110"/>
      <c r="F101" s="21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1</v>
      </c>
      <c r="N101" s="22">
        <v>1</v>
      </c>
      <c r="O101" s="22">
        <v>1</v>
      </c>
      <c r="P101" s="22">
        <v>0</v>
      </c>
      <c r="Q101" s="22">
        <v>1</v>
      </c>
      <c r="R101" s="22">
        <v>0</v>
      </c>
      <c r="S101" s="22">
        <v>1</v>
      </c>
      <c r="T101" s="22">
        <v>2</v>
      </c>
      <c r="U101" s="22">
        <v>0</v>
      </c>
      <c r="V101" s="22">
        <v>0</v>
      </c>
      <c r="W101" s="22">
        <v>0</v>
      </c>
      <c r="X101" s="23">
        <v>0</v>
      </c>
      <c r="Y101" s="23">
        <v>1</v>
      </c>
      <c r="Z101" s="23">
        <v>0</v>
      </c>
      <c r="AA101" s="23">
        <v>0</v>
      </c>
      <c r="AB101" s="22">
        <v>0</v>
      </c>
      <c r="AC101" s="22">
        <v>2</v>
      </c>
      <c r="AD101" s="22">
        <v>1</v>
      </c>
      <c r="AE101" s="22">
        <v>0</v>
      </c>
      <c r="AF101" s="22">
        <v>0</v>
      </c>
      <c r="AG101" s="22">
        <v>0</v>
      </c>
      <c r="AH101" s="22">
        <v>0</v>
      </c>
      <c r="AI101" s="22">
        <v>0</v>
      </c>
      <c r="AJ101" s="22">
        <v>0</v>
      </c>
      <c r="AK101" s="22">
        <v>0</v>
      </c>
      <c r="AL101" s="22">
        <v>0</v>
      </c>
      <c r="AM101" s="22">
        <v>0</v>
      </c>
      <c r="AN101" s="40">
        <f t="shared" si="5"/>
        <v>11</v>
      </c>
      <c r="AO101" s="25">
        <v>1</v>
      </c>
      <c r="AP101" s="26">
        <v>0</v>
      </c>
      <c r="AQ101" s="26">
        <v>0</v>
      </c>
      <c r="AR101" s="26">
        <v>0</v>
      </c>
      <c r="AS101" s="26">
        <v>0</v>
      </c>
      <c r="AT101" s="26">
        <v>0</v>
      </c>
      <c r="AU101" s="26">
        <v>0</v>
      </c>
      <c r="AV101" s="26">
        <v>1</v>
      </c>
      <c r="AW101" s="26">
        <v>0</v>
      </c>
      <c r="AX101" s="26">
        <v>0</v>
      </c>
      <c r="AY101" s="26">
        <v>2</v>
      </c>
      <c r="AZ101" s="26">
        <v>1</v>
      </c>
      <c r="BA101" s="26">
        <v>3</v>
      </c>
      <c r="BB101" s="26">
        <v>2</v>
      </c>
      <c r="BC101" s="26">
        <v>0</v>
      </c>
      <c r="BD101" s="26">
        <v>0</v>
      </c>
      <c r="BE101" s="26">
        <v>1</v>
      </c>
      <c r="BF101" s="26">
        <v>1</v>
      </c>
      <c r="BG101" s="26">
        <v>1</v>
      </c>
      <c r="BH101" s="26">
        <v>2</v>
      </c>
      <c r="BI101" s="26">
        <v>0</v>
      </c>
      <c r="BJ101" s="26">
        <v>2</v>
      </c>
      <c r="BK101" s="26">
        <v>0</v>
      </c>
      <c r="BL101" s="26" t="s">
        <v>172</v>
      </c>
      <c r="BM101" s="26">
        <v>0</v>
      </c>
      <c r="BN101" s="26">
        <v>1</v>
      </c>
      <c r="BO101" s="26">
        <v>0</v>
      </c>
      <c r="BP101" s="26">
        <v>0</v>
      </c>
      <c r="BQ101" s="26">
        <v>2</v>
      </c>
      <c r="BR101" s="26">
        <v>0</v>
      </c>
      <c r="BS101" s="26">
        <v>0</v>
      </c>
      <c r="BT101" s="26">
        <v>1</v>
      </c>
      <c r="BU101" s="26">
        <v>2</v>
      </c>
      <c r="BV101" s="26">
        <v>0</v>
      </c>
      <c r="BW101" s="26">
        <v>0</v>
      </c>
      <c r="BX101" s="26">
        <v>0</v>
      </c>
      <c r="BY101" s="26">
        <v>0</v>
      </c>
      <c r="BZ101" s="26">
        <v>0</v>
      </c>
      <c r="CA101" s="26">
        <v>2</v>
      </c>
      <c r="CB101" s="26">
        <v>0</v>
      </c>
      <c r="CC101" s="26">
        <v>0</v>
      </c>
      <c r="CD101" s="26">
        <v>0</v>
      </c>
      <c r="CE101" s="63">
        <f t="shared" si="6"/>
        <v>25</v>
      </c>
      <c r="CF101" s="63">
        <f t="shared" si="7"/>
        <v>36</v>
      </c>
      <c r="CG101" s="64">
        <f t="shared" si="8"/>
        <v>15.428571428571427</v>
      </c>
      <c r="CH101" s="114">
        <v>23.6</v>
      </c>
      <c r="CI101" s="115">
        <f t="shared" si="9"/>
        <v>39.028571428571425</v>
      </c>
    </row>
    <row r="102" spans="1:87" ht="15" customHeight="1">
      <c r="A102" s="20">
        <v>80</v>
      </c>
      <c r="B102" s="117" t="s">
        <v>160</v>
      </c>
      <c r="C102" s="106" t="s">
        <v>169</v>
      </c>
      <c r="D102" s="109" t="s">
        <v>170</v>
      </c>
      <c r="E102" s="110"/>
      <c r="F102" s="21">
        <v>1</v>
      </c>
      <c r="G102" s="22">
        <v>0</v>
      </c>
      <c r="H102" s="22">
        <v>0</v>
      </c>
      <c r="I102" s="22">
        <v>1</v>
      </c>
      <c r="J102" s="22">
        <v>1</v>
      </c>
      <c r="K102" s="22">
        <v>1</v>
      </c>
      <c r="L102" s="22">
        <v>0</v>
      </c>
      <c r="M102" s="22">
        <v>0</v>
      </c>
      <c r="N102" s="22">
        <v>0</v>
      </c>
      <c r="O102" s="22">
        <v>1</v>
      </c>
      <c r="P102" s="22">
        <v>0</v>
      </c>
      <c r="Q102" s="22">
        <v>0</v>
      </c>
      <c r="R102" s="22">
        <v>0</v>
      </c>
      <c r="S102" s="22">
        <v>0</v>
      </c>
      <c r="T102" s="22">
        <v>2</v>
      </c>
      <c r="U102" s="22">
        <v>0</v>
      </c>
      <c r="V102" s="22">
        <v>0</v>
      </c>
      <c r="W102" s="22">
        <v>0</v>
      </c>
      <c r="X102" s="23">
        <v>0</v>
      </c>
      <c r="Y102" s="23">
        <v>0</v>
      </c>
      <c r="Z102" s="23">
        <v>0</v>
      </c>
      <c r="AA102" s="23">
        <v>0</v>
      </c>
      <c r="AB102" s="22">
        <v>0</v>
      </c>
      <c r="AC102" s="22">
        <v>0</v>
      </c>
      <c r="AD102" s="22">
        <v>1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40">
        <f t="shared" si="5"/>
        <v>8</v>
      </c>
      <c r="AO102" s="25">
        <v>1</v>
      </c>
      <c r="AP102" s="26">
        <v>0</v>
      </c>
      <c r="AQ102" s="26">
        <v>0</v>
      </c>
      <c r="AR102" s="26">
        <v>0</v>
      </c>
      <c r="AS102" s="26">
        <v>0</v>
      </c>
      <c r="AT102" s="26">
        <v>0</v>
      </c>
      <c r="AU102" s="26">
        <v>0</v>
      </c>
      <c r="AV102" s="26">
        <v>0</v>
      </c>
      <c r="AW102" s="26">
        <v>0</v>
      </c>
      <c r="AX102" s="26">
        <v>0</v>
      </c>
      <c r="AY102" s="26">
        <v>2</v>
      </c>
      <c r="AZ102" s="26">
        <v>0</v>
      </c>
      <c r="BA102" s="26">
        <v>1</v>
      </c>
      <c r="BB102" s="26">
        <v>0</v>
      </c>
      <c r="BC102" s="26">
        <v>0</v>
      </c>
      <c r="BD102" s="26">
        <v>1</v>
      </c>
      <c r="BE102" s="26">
        <v>0</v>
      </c>
      <c r="BF102" s="26">
        <v>0</v>
      </c>
      <c r="BG102" s="26">
        <v>1</v>
      </c>
      <c r="BH102" s="26">
        <v>0</v>
      </c>
      <c r="BI102" s="26">
        <v>0</v>
      </c>
      <c r="BJ102" s="26">
        <v>0</v>
      </c>
      <c r="BK102" s="26">
        <v>0</v>
      </c>
      <c r="BL102" s="26" t="s">
        <v>172</v>
      </c>
      <c r="BM102" s="26">
        <v>0</v>
      </c>
      <c r="BN102" s="26">
        <v>0</v>
      </c>
      <c r="BO102" s="26">
        <v>0</v>
      </c>
      <c r="BP102" s="26">
        <v>0</v>
      </c>
      <c r="BQ102" s="26">
        <v>0</v>
      </c>
      <c r="BR102" s="26">
        <v>0</v>
      </c>
      <c r="BS102" s="26">
        <v>0</v>
      </c>
      <c r="BT102" s="26">
        <v>0</v>
      </c>
      <c r="BU102" s="26">
        <v>0</v>
      </c>
      <c r="BV102" s="26">
        <v>0</v>
      </c>
      <c r="BW102" s="26">
        <v>0</v>
      </c>
      <c r="BX102" s="26">
        <v>0</v>
      </c>
      <c r="BY102" s="26">
        <v>0</v>
      </c>
      <c r="BZ102" s="26">
        <v>0</v>
      </c>
      <c r="CA102" s="26">
        <v>1</v>
      </c>
      <c r="CB102" s="26">
        <v>0</v>
      </c>
      <c r="CC102" s="26">
        <v>0</v>
      </c>
      <c r="CD102" s="26">
        <v>0</v>
      </c>
      <c r="CE102" s="63">
        <f t="shared" si="6"/>
        <v>7</v>
      </c>
      <c r="CF102" s="63">
        <f t="shared" si="7"/>
        <v>15</v>
      </c>
      <c r="CG102" s="64">
        <f t="shared" si="8"/>
        <v>6.4285714285714279</v>
      </c>
      <c r="CH102" s="114">
        <v>11.6</v>
      </c>
      <c r="CI102" s="115">
        <f t="shared" si="9"/>
        <v>18.028571428571428</v>
      </c>
    </row>
    <row r="103" spans="1:87" ht="15" customHeight="1">
      <c r="A103" s="20">
        <v>81</v>
      </c>
      <c r="B103" s="117" t="s">
        <v>161</v>
      </c>
      <c r="C103" s="106" t="s">
        <v>169</v>
      </c>
      <c r="D103" s="109" t="s">
        <v>170</v>
      </c>
      <c r="E103" s="110"/>
      <c r="F103" s="21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1</v>
      </c>
      <c r="L103" s="22">
        <v>0</v>
      </c>
      <c r="M103" s="22">
        <v>1</v>
      </c>
      <c r="N103" s="22">
        <v>0</v>
      </c>
      <c r="O103" s="22">
        <v>0</v>
      </c>
      <c r="P103" s="22">
        <v>0</v>
      </c>
      <c r="Q103" s="22">
        <v>1</v>
      </c>
      <c r="R103" s="22">
        <v>0</v>
      </c>
      <c r="S103" s="22">
        <v>0</v>
      </c>
      <c r="T103" s="22">
        <v>2</v>
      </c>
      <c r="U103" s="22">
        <v>0</v>
      </c>
      <c r="V103" s="22">
        <v>0</v>
      </c>
      <c r="W103" s="22">
        <v>0</v>
      </c>
      <c r="X103" s="23">
        <v>1</v>
      </c>
      <c r="Y103" s="23">
        <v>1</v>
      </c>
      <c r="Z103" s="23">
        <v>2</v>
      </c>
      <c r="AA103" s="23">
        <v>2</v>
      </c>
      <c r="AB103" s="22">
        <v>0</v>
      </c>
      <c r="AC103" s="22">
        <v>2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2</v>
      </c>
      <c r="AJ103" s="22">
        <v>2</v>
      </c>
      <c r="AK103" s="22">
        <v>0</v>
      </c>
      <c r="AL103" s="22">
        <v>0</v>
      </c>
      <c r="AM103" s="22">
        <v>0</v>
      </c>
      <c r="AN103" s="40">
        <f t="shared" si="5"/>
        <v>17</v>
      </c>
      <c r="AO103" s="25">
        <v>1</v>
      </c>
      <c r="AP103" s="26">
        <v>0</v>
      </c>
      <c r="AQ103" s="26">
        <v>0</v>
      </c>
      <c r="AR103" s="26">
        <v>0</v>
      </c>
      <c r="AS103" s="26">
        <v>1</v>
      </c>
      <c r="AT103" s="26">
        <v>1</v>
      </c>
      <c r="AU103" s="26">
        <v>0</v>
      </c>
      <c r="AV103" s="26">
        <v>1</v>
      </c>
      <c r="AW103" s="26">
        <v>0</v>
      </c>
      <c r="AX103" s="26">
        <v>0</v>
      </c>
      <c r="AY103" s="26">
        <v>2</v>
      </c>
      <c r="AZ103" s="26">
        <v>0</v>
      </c>
      <c r="BA103" s="26">
        <v>1</v>
      </c>
      <c r="BB103" s="26">
        <v>0</v>
      </c>
      <c r="BC103" s="26">
        <v>0</v>
      </c>
      <c r="BD103" s="26">
        <v>1</v>
      </c>
      <c r="BE103" s="26">
        <v>1</v>
      </c>
      <c r="BF103" s="26">
        <v>0</v>
      </c>
      <c r="BG103" s="26">
        <v>1</v>
      </c>
      <c r="BH103" s="26">
        <v>3</v>
      </c>
      <c r="BI103" s="26">
        <v>0</v>
      </c>
      <c r="BJ103" s="26">
        <v>0</v>
      </c>
      <c r="BK103" s="26">
        <v>0</v>
      </c>
      <c r="BL103" s="26" t="s">
        <v>172</v>
      </c>
      <c r="BM103" s="26" t="s">
        <v>172</v>
      </c>
      <c r="BN103" s="26">
        <v>0</v>
      </c>
      <c r="BO103" s="26">
        <v>0</v>
      </c>
      <c r="BP103" s="26">
        <v>1</v>
      </c>
      <c r="BQ103" s="26">
        <v>1</v>
      </c>
      <c r="BR103" s="26">
        <v>0</v>
      </c>
      <c r="BS103" s="26">
        <v>2</v>
      </c>
      <c r="BT103" s="26">
        <v>3</v>
      </c>
      <c r="BU103" s="26">
        <v>1</v>
      </c>
      <c r="BV103" s="26">
        <v>0</v>
      </c>
      <c r="BW103" s="26">
        <v>2</v>
      </c>
      <c r="BX103" s="26">
        <v>0</v>
      </c>
      <c r="BY103" s="26">
        <v>2</v>
      </c>
      <c r="BZ103" s="26">
        <v>1</v>
      </c>
      <c r="CA103" s="26">
        <v>1</v>
      </c>
      <c r="CB103" s="26" t="s">
        <v>172</v>
      </c>
      <c r="CC103" s="26">
        <v>0</v>
      </c>
      <c r="CD103" s="26">
        <v>0</v>
      </c>
      <c r="CE103" s="63">
        <f t="shared" si="6"/>
        <v>27</v>
      </c>
      <c r="CF103" s="63">
        <f t="shared" si="7"/>
        <v>44</v>
      </c>
      <c r="CG103" s="64">
        <f t="shared" si="8"/>
        <v>18.857142857142858</v>
      </c>
      <c r="CH103" s="114">
        <v>18.600000000000001</v>
      </c>
      <c r="CI103" s="115">
        <f t="shared" si="9"/>
        <v>37.457142857142856</v>
      </c>
    </row>
    <row r="104" spans="1:87" ht="15" customHeight="1">
      <c r="A104" s="20">
        <v>82</v>
      </c>
      <c r="B104" s="117" t="s">
        <v>162</v>
      </c>
      <c r="C104" s="106" t="s">
        <v>169</v>
      </c>
      <c r="D104" s="109" t="s">
        <v>171</v>
      </c>
      <c r="E104" s="110"/>
      <c r="F104" s="21">
        <v>0</v>
      </c>
      <c r="G104" s="22">
        <v>0</v>
      </c>
      <c r="H104" s="22">
        <v>0</v>
      </c>
      <c r="I104" s="22">
        <v>1</v>
      </c>
      <c r="J104" s="22">
        <v>0</v>
      </c>
      <c r="K104" s="22">
        <v>1</v>
      </c>
      <c r="L104" s="22">
        <v>1</v>
      </c>
      <c r="M104" s="22">
        <v>0</v>
      </c>
      <c r="N104" s="22">
        <v>1</v>
      </c>
      <c r="O104" s="22">
        <v>1</v>
      </c>
      <c r="P104" s="22">
        <v>0</v>
      </c>
      <c r="Q104" s="22">
        <v>1</v>
      </c>
      <c r="R104" s="22">
        <v>2</v>
      </c>
      <c r="S104" s="22">
        <v>0</v>
      </c>
      <c r="T104" s="22">
        <v>0</v>
      </c>
      <c r="U104" s="22">
        <v>0</v>
      </c>
      <c r="V104" s="22">
        <v>0</v>
      </c>
      <c r="W104" s="22">
        <v>1</v>
      </c>
      <c r="X104" s="23">
        <v>0</v>
      </c>
      <c r="Y104" s="23">
        <v>0</v>
      </c>
      <c r="Z104" s="23">
        <v>0</v>
      </c>
      <c r="AA104" s="23">
        <v>0</v>
      </c>
      <c r="AB104" s="22">
        <v>0</v>
      </c>
      <c r="AC104" s="22">
        <v>0</v>
      </c>
      <c r="AD104" s="22">
        <v>1</v>
      </c>
      <c r="AE104" s="22">
        <v>0</v>
      </c>
      <c r="AF104" s="22">
        <v>0</v>
      </c>
      <c r="AG104" s="22">
        <v>0</v>
      </c>
      <c r="AH104" s="22">
        <v>0</v>
      </c>
      <c r="AI104" s="22">
        <v>1</v>
      </c>
      <c r="AJ104" s="22">
        <v>0</v>
      </c>
      <c r="AK104" s="22">
        <v>1</v>
      </c>
      <c r="AL104" s="22">
        <v>0</v>
      </c>
      <c r="AM104" s="22">
        <v>0</v>
      </c>
      <c r="AN104" s="40">
        <f t="shared" si="5"/>
        <v>12</v>
      </c>
      <c r="AO104" s="25">
        <v>2</v>
      </c>
      <c r="AP104" s="26">
        <v>1</v>
      </c>
      <c r="AQ104" s="26">
        <v>0</v>
      </c>
      <c r="AR104" s="26">
        <v>1</v>
      </c>
      <c r="AS104" s="26">
        <v>1</v>
      </c>
      <c r="AT104" s="26">
        <v>1</v>
      </c>
      <c r="AU104" s="26">
        <v>0</v>
      </c>
      <c r="AV104" s="26">
        <v>2</v>
      </c>
      <c r="AW104" s="26">
        <v>1</v>
      </c>
      <c r="AX104" s="26">
        <v>0</v>
      </c>
      <c r="AY104" s="26">
        <v>0</v>
      </c>
      <c r="AZ104" s="26">
        <v>0</v>
      </c>
      <c r="BA104" s="26">
        <v>1</v>
      </c>
      <c r="BB104" s="26">
        <v>1</v>
      </c>
      <c r="BC104" s="26">
        <v>0</v>
      </c>
      <c r="BD104" s="26">
        <v>0</v>
      </c>
      <c r="BE104" s="26">
        <v>0</v>
      </c>
      <c r="BF104" s="26">
        <v>0</v>
      </c>
      <c r="BG104" s="26">
        <v>1</v>
      </c>
      <c r="BH104" s="26">
        <v>0</v>
      </c>
      <c r="BI104" s="26">
        <v>0</v>
      </c>
      <c r="BJ104" s="26">
        <v>0</v>
      </c>
      <c r="BK104" s="26">
        <v>0</v>
      </c>
      <c r="BL104" s="26" t="s">
        <v>172</v>
      </c>
      <c r="BM104" s="26">
        <v>0</v>
      </c>
      <c r="BN104" s="26">
        <v>0</v>
      </c>
      <c r="BO104" s="26">
        <v>0</v>
      </c>
      <c r="BP104" s="26">
        <v>0</v>
      </c>
      <c r="BQ104" s="26">
        <v>0</v>
      </c>
      <c r="BR104" s="26">
        <v>0</v>
      </c>
      <c r="BS104" s="26">
        <v>2</v>
      </c>
      <c r="BT104" s="26">
        <v>3</v>
      </c>
      <c r="BU104" s="26">
        <v>2</v>
      </c>
      <c r="BV104" s="26">
        <v>1</v>
      </c>
      <c r="BW104" s="26">
        <v>0</v>
      </c>
      <c r="BX104" s="26">
        <v>0</v>
      </c>
      <c r="BY104" s="26">
        <v>2</v>
      </c>
      <c r="BZ104" s="26">
        <v>0</v>
      </c>
      <c r="CA104" s="26">
        <v>2</v>
      </c>
      <c r="CB104" s="26">
        <v>0</v>
      </c>
      <c r="CC104" s="26">
        <v>0</v>
      </c>
      <c r="CD104" s="26">
        <v>0</v>
      </c>
      <c r="CE104" s="63">
        <f t="shared" si="6"/>
        <v>24</v>
      </c>
      <c r="CF104" s="63">
        <f t="shared" si="7"/>
        <v>36</v>
      </c>
      <c r="CG104" s="64">
        <f t="shared" si="8"/>
        <v>15.428571428571427</v>
      </c>
      <c r="CH104" s="114">
        <v>14</v>
      </c>
      <c r="CI104" s="115">
        <f t="shared" si="9"/>
        <v>29.428571428571427</v>
      </c>
    </row>
    <row r="105" spans="1:87" ht="15" customHeight="1">
      <c r="A105" s="20">
        <v>83</v>
      </c>
      <c r="B105" s="117" t="s">
        <v>163</v>
      </c>
      <c r="C105" s="106" t="s">
        <v>169</v>
      </c>
      <c r="D105" s="109" t="s">
        <v>171</v>
      </c>
      <c r="E105" s="110"/>
      <c r="F105" s="21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1</v>
      </c>
      <c r="M105" s="22">
        <v>1</v>
      </c>
      <c r="N105" s="22">
        <v>0</v>
      </c>
      <c r="O105" s="22">
        <v>0</v>
      </c>
      <c r="P105" s="22">
        <v>0</v>
      </c>
      <c r="Q105" s="22">
        <v>1</v>
      </c>
      <c r="R105" s="22">
        <v>0</v>
      </c>
      <c r="S105" s="22">
        <v>0</v>
      </c>
      <c r="T105" s="22">
        <v>1</v>
      </c>
      <c r="U105" s="22">
        <v>0</v>
      </c>
      <c r="V105" s="22">
        <v>0</v>
      </c>
      <c r="W105" s="22">
        <v>1</v>
      </c>
      <c r="X105" s="23">
        <v>1</v>
      </c>
      <c r="Y105" s="23">
        <v>1</v>
      </c>
      <c r="Z105" s="23">
        <v>0</v>
      </c>
      <c r="AA105" s="23">
        <v>0</v>
      </c>
      <c r="AB105" s="22">
        <v>0</v>
      </c>
      <c r="AC105" s="22">
        <v>0</v>
      </c>
      <c r="AD105" s="22">
        <v>1</v>
      </c>
      <c r="AE105" s="22">
        <v>0</v>
      </c>
      <c r="AF105" s="22">
        <v>0</v>
      </c>
      <c r="AG105" s="22">
        <v>0</v>
      </c>
      <c r="AH105" s="22">
        <v>0</v>
      </c>
      <c r="AI105" s="22">
        <v>1</v>
      </c>
      <c r="AJ105" s="22">
        <v>1</v>
      </c>
      <c r="AK105" s="22">
        <v>0</v>
      </c>
      <c r="AL105" s="22">
        <v>0</v>
      </c>
      <c r="AM105" s="22">
        <v>0</v>
      </c>
      <c r="AN105" s="40">
        <f t="shared" si="5"/>
        <v>10</v>
      </c>
      <c r="AO105" s="25">
        <v>1</v>
      </c>
      <c r="AP105" s="26">
        <v>0</v>
      </c>
      <c r="AQ105" s="26">
        <v>0</v>
      </c>
      <c r="AR105" s="26">
        <v>1</v>
      </c>
      <c r="AS105" s="26">
        <v>0</v>
      </c>
      <c r="AT105" s="26">
        <v>0</v>
      </c>
      <c r="AU105" s="26">
        <v>0</v>
      </c>
      <c r="AV105" s="26">
        <v>1</v>
      </c>
      <c r="AW105" s="26">
        <v>1</v>
      </c>
      <c r="AX105" s="26">
        <v>0</v>
      </c>
      <c r="AY105" s="26">
        <v>2</v>
      </c>
      <c r="AZ105" s="26">
        <v>0</v>
      </c>
      <c r="BA105" s="26">
        <v>0</v>
      </c>
      <c r="BB105" s="26">
        <v>2</v>
      </c>
      <c r="BC105" s="26">
        <v>0</v>
      </c>
      <c r="BD105" s="26">
        <v>1</v>
      </c>
      <c r="BE105" s="26">
        <v>0</v>
      </c>
      <c r="BF105" s="26">
        <v>0</v>
      </c>
      <c r="BG105" s="26">
        <v>1</v>
      </c>
      <c r="BH105" s="26">
        <v>2</v>
      </c>
      <c r="BI105" s="26">
        <v>0</v>
      </c>
      <c r="BJ105" s="26">
        <v>0</v>
      </c>
      <c r="BK105" s="26">
        <v>0</v>
      </c>
      <c r="BL105" s="26" t="s">
        <v>172</v>
      </c>
      <c r="BM105" s="26">
        <v>0</v>
      </c>
      <c r="BN105" s="26">
        <v>1</v>
      </c>
      <c r="BO105" s="26">
        <v>1</v>
      </c>
      <c r="BP105" s="26">
        <v>0</v>
      </c>
      <c r="BQ105" s="26">
        <v>0</v>
      </c>
      <c r="BR105" s="26">
        <v>0</v>
      </c>
      <c r="BS105" s="26">
        <v>2</v>
      </c>
      <c r="BT105" s="26">
        <v>3</v>
      </c>
      <c r="BU105" s="26">
        <v>2</v>
      </c>
      <c r="BV105" s="26">
        <v>0</v>
      </c>
      <c r="BW105" s="26">
        <v>0</v>
      </c>
      <c r="BX105" s="26">
        <v>0</v>
      </c>
      <c r="BY105" s="26">
        <v>2</v>
      </c>
      <c r="BZ105" s="26">
        <v>0</v>
      </c>
      <c r="CA105" s="26">
        <v>2</v>
      </c>
      <c r="CB105" s="26">
        <v>0</v>
      </c>
      <c r="CC105" s="26">
        <v>0</v>
      </c>
      <c r="CD105" s="26">
        <v>0</v>
      </c>
      <c r="CE105" s="63">
        <f t="shared" si="6"/>
        <v>25</v>
      </c>
      <c r="CF105" s="63">
        <f t="shared" si="7"/>
        <v>35</v>
      </c>
      <c r="CG105" s="64">
        <f t="shared" si="8"/>
        <v>15</v>
      </c>
      <c r="CH105" s="114">
        <v>14.3</v>
      </c>
      <c r="CI105" s="115">
        <f t="shared" si="9"/>
        <v>29.3</v>
      </c>
    </row>
    <row r="106" spans="1:87" ht="15.75" customHeight="1">
      <c r="A106" s="20">
        <v>84</v>
      </c>
      <c r="B106" s="117" t="s">
        <v>164</v>
      </c>
      <c r="C106" s="106" t="s">
        <v>169</v>
      </c>
      <c r="D106" s="109" t="s">
        <v>171</v>
      </c>
      <c r="E106" s="110"/>
      <c r="F106" s="21">
        <v>0</v>
      </c>
      <c r="G106" s="22">
        <v>0</v>
      </c>
      <c r="H106" s="22">
        <v>0</v>
      </c>
      <c r="I106" s="22">
        <v>1</v>
      </c>
      <c r="J106" s="22">
        <v>1</v>
      </c>
      <c r="K106" s="22">
        <v>1</v>
      </c>
      <c r="L106" s="22">
        <v>2</v>
      </c>
      <c r="M106" s="22">
        <v>1</v>
      </c>
      <c r="N106" s="22">
        <v>1</v>
      </c>
      <c r="O106" s="22">
        <v>0</v>
      </c>
      <c r="P106" s="22">
        <v>1</v>
      </c>
      <c r="Q106" s="22">
        <v>1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X106" s="23">
        <v>2</v>
      </c>
      <c r="Y106" s="23">
        <v>1</v>
      </c>
      <c r="Z106" s="23">
        <v>0</v>
      </c>
      <c r="AA106" s="23">
        <v>2</v>
      </c>
      <c r="AB106" s="22">
        <v>0</v>
      </c>
      <c r="AC106" s="22">
        <v>0</v>
      </c>
      <c r="AD106" s="22">
        <v>0</v>
      </c>
      <c r="AE106" s="22">
        <v>0</v>
      </c>
      <c r="AF106" s="22">
        <v>2</v>
      </c>
      <c r="AG106" s="22">
        <v>0</v>
      </c>
      <c r="AH106" s="22">
        <v>0</v>
      </c>
      <c r="AI106" s="22">
        <v>1</v>
      </c>
      <c r="AJ106" s="22">
        <v>0</v>
      </c>
      <c r="AK106" s="22">
        <v>1</v>
      </c>
      <c r="AL106" s="22">
        <v>0</v>
      </c>
      <c r="AM106" s="22">
        <v>0</v>
      </c>
      <c r="AN106" s="40">
        <f t="shared" si="5"/>
        <v>18</v>
      </c>
      <c r="AO106" s="25">
        <v>0</v>
      </c>
      <c r="AP106" s="26">
        <v>0</v>
      </c>
      <c r="AQ106" s="26">
        <v>0</v>
      </c>
      <c r="AR106" s="26">
        <v>0</v>
      </c>
      <c r="AS106" s="26">
        <v>1</v>
      </c>
      <c r="AT106" s="26">
        <v>1</v>
      </c>
      <c r="AU106" s="26">
        <v>2</v>
      </c>
      <c r="AV106" s="26">
        <v>2</v>
      </c>
      <c r="AW106" s="26">
        <v>1</v>
      </c>
      <c r="AX106" s="26">
        <v>0</v>
      </c>
      <c r="AY106" s="26">
        <v>0</v>
      </c>
      <c r="AZ106" s="26">
        <v>0</v>
      </c>
      <c r="BA106" s="26">
        <v>0</v>
      </c>
      <c r="BB106" s="26">
        <v>0</v>
      </c>
      <c r="BC106" s="26">
        <v>0</v>
      </c>
      <c r="BD106" s="26">
        <v>1</v>
      </c>
      <c r="BE106" s="26">
        <v>1</v>
      </c>
      <c r="BF106" s="26">
        <v>0</v>
      </c>
      <c r="BG106" s="26">
        <v>1</v>
      </c>
      <c r="BH106" s="26">
        <v>0</v>
      </c>
      <c r="BI106" s="26">
        <v>0</v>
      </c>
      <c r="BJ106" s="26">
        <v>0</v>
      </c>
      <c r="BK106" s="26">
        <v>0</v>
      </c>
      <c r="BL106" s="26">
        <v>1</v>
      </c>
      <c r="BM106" s="26">
        <v>0</v>
      </c>
      <c r="BN106" s="26">
        <v>1</v>
      </c>
      <c r="BO106" s="26">
        <v>1</v>
      </c>
      <c r="BP106" s="26">
        <v>0</v>
      </c>
      <c r="BQ106" s="26">
        <v>0</v>
      </c>
      <c r="BR106" s="26">
        <v>0</v>
      </c>
      <c r="BS106" s="26">
        <v>1</v>
      </c>
      <c r="BT106" s="26">
        <v>1</v>
      </c>
      <c r="BU106" s="26">
        <v>1</v>
      </c>
      <c r="BV106" s="26">
        <v>0</v>
      </c>
      <c r="BW106" s="26">
        <v>0</v>
      </c>
      <c r="BX106" s="26">
        <v>0</v>
      </c>
      <c r="BY106" s="26">
        <v>2</v>
      </c>
      <c r="BZ106" s="26">
        <v>0</v>
      </c>
      <c r="CA106" s="26">
        <v>1</v>
      </c>
      <c r="CB106" s="26">
        <v>0</v>
      </c>
      <c r="CC106" s="26">
        <v>0</v>
      </c>
      <c r="CD106" s="26">
        <v>0</v>
      </c>
      <c r="CE106" s="63">
        <f t="shared" si="6"/>
        <v>19</v>
      </c>
      <c r="CF106" s="63">
        <f t="shared" si="7"/>
        <v>37</v>
      </c>
      <c r="CG106" s="64">
        <f t="shared" si="8"/>
        <v>15.857142857142858</v>
      </c>
      <c r="CH106" s="114">
        <v>16</v>
      </c>
      <c r="CI106" s="115">
        <f t="shared" si="9"/>
        <v>31.857142857142858</v>
      </c>
    </row>
    <row r="107" spans="1:87" ht="15" customHeight="1">
      <c r="A107" s="20">
        <v>85</v>
      </c>
      <c r="B107" s="117" t="s">
        <v>165</v>
      </c>
      <c r="C107" s="106" t="s">
        <v>169</v>
      </c>
      <c r="D107" s="109" t="s">
        <v>171</v>
      </c>
      <c r="E107" s="110"/>
      <c r="F107" s="21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1</v>
      </c>
      <c r="L107" s="22" t="s">
        <v>172</v>
      </c>
      <c r="M107" s="22">
        <v>1</v>
      </c>
      <c r="N107" s="22">
        <v>0</v>
      </c>
      <c r="O107" s="22">
        <v>0</v>
      </c>
      <c r="P107" s="22">
        <v>0</v>
      </c>
      <c r="Q107" s="22">
        <v>1</v>
      </c>
      <c r="R107" s="22">
        <v>1</v>
      </c>
      <c r="S107" s="22">
        <v>0</v>
      </c>
      <c r="T107" s="22">
        <v>2</v>
      </c>
      <c r="U107" s="22">
        <v>0</v>
      </c>
      <c r="V107" s="22">
        <v>0</v>
      </c>
      <c r="W107" s="22">
        <v>0</v>
      </c>
      <c r="X107" s="23">
        <v>0</v>
      </c>
      <c r="Y107" s="23">
        <v>0</v>
      </c>
      <c r="Z107" s="23">
        <v>0</v>
      </c>
      <c r="AA107" s="23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 t="s">
        <v>172</v>
      </c>
      <c r="AI107" s="22" t="s">
        <v>172</v>
      </c>
      <c r="AJ107" s="22">
        <v>1</v>
      </c>
      <c r="AK107" s="22">
        <v>0</v>
      </c>
      <c r="AL107" s="22">
        <v>0</v>
      </c>
      <c r="AM107" s="22">
        <v>0</v>
      </c>
      <c r="AN107" s="40">
        <f t="shared" si="5"/>
        <v>7</v>
      </c>
      <c r="AO107" s="25">
        <v>1</v>
      </c>
      <c r="AP107" s="26" t="s">
        <v>172</v>
      </c>
      <c r="AQ107" s="26">
        <v>0</v>
      </c>
      <c r="AR107" s="26" t="s">
        <v>172</v>
      </c>
      <c r="AS107" s="26">
        <v>0</v>
      </c>
      <c r="AT107" s="26">
        <v>0</v>
      </c>
      <c r="AU107" s="26">
        <v>0</v>
      </c>
      <c r="AV107" s="26">
        <v>0</v>
      </c>
      <c r="AW107" s="26">
        <v>0</v>
      </c>
      <c r="AX107" s="26">
        <v>0</v>
      </c>
      <c r="AY107" s="26">
        <v>0</v>
      </c>
      <c r="AZ107" s="26">
        <v>0</v>
      </c>
      <c r="BA107" s="26">
        <v>0</v>
      </c>
      <c r="BB107" s="26">
        <v>2</v>
      </c>
      <c r="BC107" s="26">
        <v>0</v>
      </c>
      <c r="BD107" s="26">
        <v>0</v>
      </c>
      <c r="BE107" s="26">
        <v>0</v>
      </c>
      <c r="BF107" s="26">
        <v>0</v>
      </c>
      <c r="BG107" s="26">
        <v>1</v>
      </c>
      <c r="BH107" s="26" t="s">
        <v>172</v>
      </c>
      <c r="BI107" s="26" t="s">
        <v>172</v>
      </c>
      <c r="BJ107" s="26">
        <v>0</v>
      </c>
      <c r="BK107" s="26">
        <v>1</v>
      </c>
      <c r="BL107" s="26" t="s">
        <v>172</v>
      </c>
      <c r="BM107" s="26">
        <v>0</v>
      </c>
      <c r="BN107" s="26">
        <v>0</v>
      </c>
      <c r="BO107" s="26">
        <v>0</v>
      </c>
      <c r="BP107" s="26" t="s">
        <v>172</v>
      </c>
      <c r="BQ107" s="26">
        <v>0</v>
      </c>
      <c r="BR107" s="26">
        <v>0</v>
      </c>
      <c r="BS107" s="26">
        <v>0</v>
      </c>
      <c r="BT107" s="26">
        <v>0</v>
      </c>
      <c r="BU107" s="26">
        <v>1</v>
      </c>
      <c r="BV107" s="26">
        <v>0</v>
      </c>
      <c r="BW107" s="26">
        <v>0</v>
      </c>
      <c r="BX107" s="26">
        <v>0</v>
      </c>
      <c r="BY107" s="26">
        <v>0</v>
      </c>
      <c r="BZ107" s="26">
        <v>0</v>
      </c>
      <c r="CA107" s="26">
        <v>1</v>
      </c>
      <c r="CB107" s="26">
        <v>0</v>
      </c>
      <c r="CC107" s="26">
        <v>0</v>
      </c>
      <c r="CD107" s="26">
        <v>0</v>
      </c>
      <c r="CE107" s="63">
        <f t="shared" si="6"/>
        <v>7</v>
      </c>
      <c r="CF107" s="63">
        <f t="shared" si="7"/>
        <v>14</v>
      </c>
      <c r="CG107" s="64">
        <f t="shared" si="8"/>
        <v>6</v>
      </c>
      <c r="CH107" s="114">
        <v>11.2</v>
      </c>
      <c r="CI107" s="115">
        <f t="shared" si="9"/>
        <v>17.2</v>
      </c>
    </row>
    <row r="108" spans="1:87" ht="15" customHeight="1">
      <c r="A108" s="20">
        <v>86</v>
      </c>
      <c r="B108" s="112"/>
      <c r="C108" s="106"/>
      <c r="D108" s="109"/>
      <c r="E108" s="110"/>
      <c r="F108" s="21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3"/>
      <c r="Y108" s="23"/>
      <c r="Z108" s="23"/>
      <c r="AA108" s="23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40">
        <f t="shared" si="5"/>
        <v>0</v>
      </c>
      <c r="AO108" s="25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63">
        <f t="shared" si="6"/>
        <v>0</v>
      </c>
      <c r="CF108" s="63">
        <f t="shared" si="7"/>
        <v>0</v>
      </c>
      <c r="CG108" s="64">
        <f t="shared" si="8"/>
        <v>0</v>
      </c>
      <c r="CH108" s="114"/>
      <c r="CI108" s="115">
        <f t="shared" si="9"/>
        <v>0</v>
      </c>
    </row>
    <row r="109" spans="1:87" ht="15" customHeight="1">
      <c r="A109" s="20">
        <v>87</v>
      </c>
      <c r="B109" s="112"/>
      <c r="C109" s="106"/>
      <c r="D109" s="109"/>
      <c r="E109" s="110"/>
      <c r="F109" s="21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3"/>
      <c r="Y109" s="23"/>
      <c r="Z109" s="23"/>
      <c r="AA109" s="23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40">
        <f t="shared" si="5"/>
        <v>0</v>
      </c>
      <c r="AO109" s="25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63">
        <f t="shared" si="6"/>
        <v>0</v>
      </c>
      <c r="CF109" s="63">
        <f t="shared" si="7"/>
        <v>0</v>
      </c>
      <c r="CG109" s="64">
        <f t="shared" si="8"/>
        <v>0</v>
      </c>
      <c r="CH109" s="114"/>
      <c r="CI109" s="115">
        <f t="shared" si="9"/>
        <v>0</v>
      </c>
    </row>
    <row r="110" spans="1:87" ht="15" customHeight="1">
      <c r="A110" s="20">
        <v>88</v>
      </c>
      <c r="B110" s="112"/>
      <c r="C110" s="106"/>
      <c r="D110" s="109"/>
      <c r="E110" s="110"/>
      <c r="F110" s="21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3"/>
      <c r="Y110" s="23"/>
      <c r="Z110" s="23"/>
      <c r="AA110" s="23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40">
        <f t="shared" si="5"/>
        <v>0</v>
      </c>
      <c r="AO110" s="25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63">
        <f t="shared" si="6"/>
        <v>0</v>
      </c>
      <c r="CF110" s="63">
        <f t="shared" si="7"/>
        <v>0</v>
      </c>
      <c r="CG110" s="64">
        <f t="shared" si="8"/>
        <v>0</v>
      </c>
      <c r="CH110" s="114"/>
      <c r="CI110" s="115">
        <f t="shared" si="9"/>
        <v>0</v>
      </c>
    </row>
    <row r="111" spans="1:87" ht="15.75" customHeight="1">
      <c r="A111" s="20">
        <v>89</v>
      </c>
      <c r="B111" s="112"/>
      <c r="C111" s="106"/>
      <c r="D111" s="109"/>
      <c r="E111" s="110"/>
      <c r="F111" s="21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3"/>
      <c r="Y111" s="23"/>
      <c r="Z111" s="23"/>
      <c r="AA111" s="23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40">
        <f t="shared" si="5"/>
        <v>0</v>
      </c>
      <c r="AO111" s="25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63">
        <f t="shared" si="6"/>
        <v>0</v>
      </c>
      <c r="CF111" s="63">
        <f t="shared" si="7"/>
        <v>0</v>
      </c>
      <c r="CG111" s="64">
        <f t="shared" si="8"/>
        <v>0</v>
      </c>
      <c r="CH111" s="114"/>
      <c r="CI111" s="115">
        <f t="shared" si="9"/>
        <v>0</v>
      </c>
    </row>
    <row r="112" spans="1:87" ht="15" customHeight="1">
      <c r="A112" s="20">
        <v>90</v>
      </c>
      <c r="B112" s="112"/>
      <c r="C112" s="106"/>
      <c r="D112" s="109"/>
      <c r="E112" s="110"/>
      <c r="F112" s="21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3"/>
      <c r="Y112" s="23"/>
      <c r="Z112" s="23"/>
      <c r="AA112" s="23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40">
        <f t="shared" si="5"/>
        <v>0</v>
      </c>
      <c r="AO112" s="25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63">
        <f t="shared" si="6"/>
        <v>0</v>
      </c>
      <c r="CF112" s="63">
        <f t="shared" si="7"/>
        <v>0</v>
      </c>
      <c r="CG112" s="64">
        <f t="shared" si="8"/>
        <v>0</v>
      </c>
      <c r="CH112" s="114"/>
      <c r="CI112" s="115">
        <f t="shared" si="9"/>
        <v>0</v>
      </c>
    </row>
    <row r="113" spans="1:87" ht="15" customHeight="1">
      <c r="A113" s="20">
        <v>91</v>
      </c>
      <c r="B113" s="112"/>
      <c r="C113" s="106"/>
      <c r="D113" s="109"/>
      <c r="E113" s="110"/>
      <c r="F113" s="21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3"/>
      <c r="Y113" s="23"/>
      <c r="Z113" s="23"/>
      <c r="AA113" s="23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40">
        <f t="shared" si="5"/>
        <v>0</v>
      </c>
      <c r="AO113" s="25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63">
        <f t="shared" si="6"/>
        <v>0</v>
      </c>
      <c r="CF113" s="63">
        <f t="shared" si="7"/>
        <v>0</v>
      </c>
      <c r="CG113" s="64">
        <f t="shared" si="8"/>
        <v>0</v>
      </c>
      <c r="CH113" s="114"/>
      <c r="CI113" s="115">
        <f t="shared" si="9"/>
        <v>0</v>
      </c>
    </row>
    <row r="114" spans="1:87" ht="15" customHeight="1">
      <c r="A114" s="20">
        <v>92</v>
      </c>
      <c r="B114" s="112"/>
      <c r="C114" s="106"/>
      <c r="D114" s="109"/>
      <c r="E114" s="110"/>
      <c r="F114" s="21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3"/>
      <c r="Y114" s="23"/>
      <c r="Z114" s="23"/>
      <c r="AA114" s="23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40">
        <f t="shared" si="5"/>
        <v>0</v>
      </c>
      <c r="AO114" s="25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63">
        <f t="shared" si="6"/>
        <v>0</v>
      </c>
      <c r="CF114" s="63">
        <f t="shared" si="7"/>
        <v>0</v>
      </c>
      <c r="CG114" s="64">
        <f t="shared" si="8"/>
        <v>0</v>
      </c>
      <c r="CH114" s="114"/>
      <c r="CI114" s="115">
        <f t="shared" si="9"/>
        <v>0</v>
      </c>
    </row>
    <row r="115" spans="1:87" ht="15" customHeight="1">
      <c r="A115" s="20">
        <v>93</v>
      </c>
      <c r="B115" s="112"/>
      <c r="C115" s="106"/>
      <c r="D115" s="109"/>
      <c r="E115" s="110"/>
      <c r="F115" s="21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3"/>
      <c r="Y115" s="23"/>
      <c r="Z115" s="23"/>
      <c r="AA115" s="23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40">
        <f t="shared" si="5"/>
        <v>0</v>
      </c>
      <c r="AO115" s="25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63">
        <f t="shared" si="6"/>
        <v>0</v>
      </c>
      <c r="CF115" s="63">
        <f t="shared" si="7"/>
        <v>0</v>
      </c>
      <c r="CG115" s="64">
        <f t="shared" si="8"/>
        <v>0</v>
      </c>
      <c r="CH115" s="114"/>
      <c r="CI115" s="115">
        <f t="shared" si="9"/>
        <v>0</v>
      </c>
    </row>
    <row r="116" spans="1:87" ht="15.75" customHeight="1">
      <c r="A116" s="20">
        <v>94</v>
      </c>
      <c r="B116" s="112"/>
      <c r="C116" s="106"/>
      <c r="D116" s="109"/>
      <c r="E116" s="110"/>
      <c r="F116" s="21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3"/>
      <c r="Y116" s="23"/>
      <c r="Z116" s="23"/>
      <c r="AA116" s="23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40">
        <f t="shared" si="5"/>
        <v>0</v>
      </c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63">
        <f t="shared" si="6"/>
        <v>0</v>
      </c>
      <c r="CF116" s="63">
        <f t="shared" si="7"/>
        <v>0</v>
      </c>
      <c r="CG116" s="64">
        <f t="shared" si="8"/>
        <v>0</v>
      </c>
      <c r="CH116" s="114"/>
      <c r="CI116" s="115">
        <f t="shared" si="9"/>
        <v>0</v>
      </c>
    </row>
    <row r="117" spans="1:87" ht="15" customHeight="1">
      <c r="A117" s="20">
        <v>95</v>
      </c>
      <c r="B117" s="112"/>
      <c r="C117" s="106"/>
      <c r="D117" s="109"/>
      <c r="E117" s="110"/>
      <c r="F117" s="21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3"/>
      <c r="Y117" s="23"/>
      <c r="Z117" s="23"/>
      <c r="AA117" s="23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40">
        <f t="shared" si="5"/>
        <v>0</v>
      </c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63">
        <f t="shared" si="6"/>
        <v>0</v>
      </c>
      <c r="CF117" s="63">
        <f t="shared" si="7"/>
        <v>0</v>
      </c>
      <c r="CG117" s="64">
        <f t="shared" si="8"/>
        <v>0</v>
      </c>
      <c r="CH117" s="114"/>
      <c r="CI117" s="115">
        <f t="shared" si="9"/>
        <v>0</v>
      </c>
    </row>
    <row r="118" spans="1:87" ht="15" customHeight="1">
      <c r="A118" s="20">
        <v>96</v>
      </c>
      <c r="B118" s="112"/>
      <c r="C118" s="106"/>
      <c r="D118" s="109"/>
      <c r="E118" s="110"/>
      <c r="F118" s="21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3"/>
      <c r="Y118" s="23"/>
      <c r="Z118" s="23"/>
      <c r="AA118" s="23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40">
        <f t="shared" si="5"/>
        <v>0</v>
      </c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63">
        <f t="shared" si="6"/>
        <v>0</v>
      </c>
      <c r="CF118" s="63">
        <f t="shared" si="7"/>
        <v>0</v>
      </c>
      <c r="CG118" s="64">
        <f t="shared" si="8"/>
        <v>0</v>
      </c>
      <c r="CH118" s="114"/>
      <c r="CI118" s="115">
        <f t="shared" si="9"/>
        <v>0</v>
      </c>
    </row>
    <row r="119" spans="1:87" ht="15" customHeight="1">
      <c r="A119" s="20">
        <v>97</v>
      </c>
      <c r="B119" s="112"/>
      <c r="C119" s="106"/>
      <c r="D119" s="109"/>
      <c r="E119" s="110"/>
      <c r="F119" s="21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3"/>
      <c r="Y119" s="23"/>
      <c r="Z119" s="23"/>
      <c r="AA119" s="23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40">
        <f t="shared" si="5"/>
        <v>0</v>
      </c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63">
        <f t="shared" si="6"/>
        <v>0</v>
      </c>
      <c r="CF119" s="63">
        <f t="shared" si="7"/>
        <v>0</v>
      </c>
      <c r="CG119" s="64">
        <f t="shared" si="8"/>
        <v>0</v>
      </c>
      <c r="CH119" s="114"/>
      <c r="CI119" s="115">
        <f t="shared" si="9"/>
        <v>0</v>
      </c>
    </row>
    <row r="120" spans="1:87" ht="15" customHeight="1">
      <c r="A120" s="20">
        <v>98</v>
      </c>
      <c r="B120" s="112"/>
      <c r="C120" s="106"/>
      <c r="D120" s="109"/>
      <c r="E120" s="110"/>
      <c r="F120" s="21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3"/>
      <c r="Y120" s="23"/>
      <c r="Z120" s="23"/>
      <c r="AA120" s="23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40">
        <f t="shared" si="5"/>
        <v>0</v>
      </c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63">
        <f t="shared" si="6"/>
        <v>0</v>
      </c>
      <c r="CF120" s="63">
        <f t="shared" si="7"/>
        <v>0</v>
      </c>
      <c r="CG120" s="64">
        <f t="shared" si="8"/>
        <v>0</v>
      </c>
      <c r="CH120" s="114"/>
      <c r="CI120" s="115">
        <f t="shared" si="9"/>
        <v>0</v>
      </c>
    </row>
    <row r="121" spans="1:87" ht="15.75" customHeight="1">
      <c r="A121" s="20">
        <v>99</v>
      </c>
      <c r="B121" s="112"/>
      <c r="C121" s="106"/>
      <c r="D121" s="109"/>
      <c r="E121" s="110"/>
      <c r="F121" s="21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3"/>
      <c r="Y121" s="23"/>
      <c r="Z121" s="23"/>
      <c r="AA121" s="23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40">
        <f t="shared" si="5"/>
        <v>0</v>
      </c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63">
        <f t="shared" si="6"/>
        <v>0</v>
      </c>
      <c r="CF121" s="63">
        <f t="shared" si="7"/>
        <v>0</v>
      </c>
      <c r="CG121" s="64">
        <f t="shared" si="8"/>
        <v>0</v>
      </c>
      <c r="CH121" s="114"/>
      <c r="CI121" s="115">
        <f t="shared" si="9"/>
        <v>0</v>
      </c>
    </row>
    <row r="122" spans="1:87" ht="15" customHeight="1">
      <c r="A122" s="20">
        <v>100</v>
      </c>
      <c r="B122" s="112"/>
      <c r="C122" s="106"/>
      <c r="D122" s="109"/>
      <c r="E122" s="110"/>
      <c r="F122" s="21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3"/>
      <c r="Y122" s="23"/>
      <c r="Z122" s="23"/>
      <c r="AA122" s="23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40">
        <f t="shared" si="5"/>
        <v>0</v>
      </c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63">
        <f t="shared" si="6"/>
        <v>0</v>
      </c>
      <c r="CF122" s="63">
        <f t="shared" si="7"/>
        <v>0</v>
      </c>
      <c r="CG122" s="64">
        <f t="shared" si="8"/>
        <v>0</v>
      </c>
      <c r="CH122" s="114"/>
      <c r="CI122" s="115">
        <f t="shared" si="9"/>
        <v>0</v>
      </c>
    </row>
    <row r="123" spans="1:87" ht="15" customHeight="1">
      <c r="A123" s="20">
        <v>101</v>
      </c>
      <c r="B123" s="112"/>
      <c r="C123" s="106"/>
      <c r="D123" s="109"/>
      <c r="E123" s="110"/>
      <c r="F123" s="21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3"/>
      <c r="Y123" s="23"/>
      <c r="Z123" s="23"/>
      <c r="AA123" s="23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40">
        <f t="shared" si="5"/>
        <v>0</v>
      </c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63">
        <f t="shared" si="6"/>
        <v>0</v>
      </c>
      <c r="CF123" s="63">
        <f t="shared" si="7"/>
        <v>0</v>
      </c>
      <c r="CG123" s="64">
        <f t="shared" si="8"/>
        <v>0</v>
      </c>
      <c r="CH123" s="114"/>
      <c r="CI123" s="115">
        <f t="shared" si="9"/>
        <v>0</v>
      </c>
    </row>
    <row r="124" spans="1:87" ht="15" customHeight="1">
      <c r="A124" s="20">
        <v>102</v>
      </c>
      <c r="B124" s="112"/>
      <c r="C124" s="106"/>
      <c r="D124" s="109"/>
      <c r="E124" s="110"/>
      <c r="F124" s="21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3"/>
      <c r="Y124" s="23"/>
      <c r="Z124" s="23"/>
      <c r="AA124" s="23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40">
        <f t="shared" si="5"/>
        <v>0</v>
      </c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63">
        <f t="shared" si="6"/>
        <v>0</v>
      </c>
      <c r="CF124" s="63">
        <f t="shared" si="7"/>
        <v>0</v>
      </c>
      <c r="CG124" s="64">
        <f t="shared" si="8"/>
        <v>0</v>
      </c>
      <c r="CH124" s="114"/>
      <c r="CI124" s="115">
        <f t="shared" si="9"/>
        <v>0</v>
      </c>
    </row>
    <row r="125" spans="1:87" ht="15" customHeight="1">
      <c r="A125" s="20">
        <v>103</v>
      </c>
      <c r="B125" s="112"/>
      <c r="C125" s="106"/>
      <c r="D125" s="109"/>
      <c r="E125" s="110"/>
      <c r="F125" s="21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3"/>
      <c r="Y125" s="23"/>
      <c r="Z125" s="23"/>
      <c r="AA125" s="23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40">
        <f t="shared" si="5"/>
        <v>0</v>
      </c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63">
        <f t="shared" si="6"/>
        <v>0</v>
      </c>
      <c r="CF125" s="63">
        <f t="shared" si="7"/>
        <v>0</v>
      </c>
      <c r="CG125" s="64">
        <f t="shared" si="8"/>
        <v>0</v>
      </c>
      <c r="CH125" s="114"/>
      <c r="CI125" s="115">
        <f t="shared" si="9"/>
        <v>0</v>
      </c>
    </row>
    <row r="126" spans="1:87" ht="15.75" customHeight="1">
      <c r="A126" s="20">
        <v>104</v>
      </c>
      <c r="B126" s="112"/>
      <c r="C126" s="106"/>
      <c r="D126" s="109"/>
      <c r="E126" s="110"/>
      <c r="F126" s="21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3"/>
      <c r="Y126" s="23"/>
      <c r="Z126" s="23"/>
      <c r="AA126" s="23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40">
        <f t="shared" si="5"/>
        <v>0</v>
      </c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63">
        <f t="shared" si="6"/>
        <v>0</v>
      </c>
      <c r="CF126" s="63">
        <f t="shared" si="7"/>
        <v>0</v>
      </c>
      <c r="CG126" s="64">
        <f t="shared" si="8"/>
        <v>0</v>
      </c>
      <c r="CH126" s="114"/>
      <c r="CI126" s="115">
        <f t="shared" si="9"/>
        <v>0</v>
      </c>
    </row>
    <row r="127" spans="1:87" ht="15" customHeight="1">
      <c r="A127" s="20">
        <v>105</v>
      </c>
      <c r="B127" s="112"/>
      <c r="C127" s="106"/>
      <c r="D127" s="109"/>
      <c r="E127" s="110"/>
      <c r="F127" s="21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3"/>
      <c r="Y127" s="23"/>
      <c r="Z127" s="23"/>
      <c r="AA127" s="23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40">
        <f t="shared" si="5"/>
        <v>0</v>
      </c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63">
        <f t="shared" si="6"/>
        <v>0</v>
      </c>
      <c r="CF127" s="63">
        <f t="shared" si="7"/>
        <v>0</v>
      </c>
      <c r="CG127" s="64">
        <f t="shared" si="8"/>
        <v>0</v>
      </c>
      <c r="CH127" s="114"/>
      <c r="CI127" s="115">
        <f t="shared" si="9"/>
        <v>0</v>
      </c>
    </row>
    <row r="128" spans="1:87" ht="15" customHeight="1">
      <c r="A128" s="20">
        <v>106</v>
      </c>
      <c r="B128" s="107"/>
      <c r="C128" s="108"/>
      <c r="D128" s="109"/>
      <c r="E128" s="110"/>
      <c r="F128" s="21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3"/>
      <c r="Y128" s="23"/>
      <c r="Z128" s="23"/>
      <c r="AA128" s="23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40">
        <f t="shared" si="5"/>
        <v>0</v>
      </c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63">
        <f t="shared" si="6"/>
        <v>0</v>
      </c>
      <c r="CF128" s="63">
        <f t="shared" si="7"/>
        <v>0</v>
      </c>
      <c r="CG128" s="64">
        <f t="shared" si="8"/>
        <v>0</v>
      </c>
      <c r="CH128" s="114"/>
      <c r="CI128" s="115">
        <f t="shared" si="9"/>
        <v>0</v>
      </c>
    </row>
    <row r="129" spans="1:87" ht="15" customHeight="1">
      <c r="A129" s="20">
        <v>107</v>
      </c>
      <c r="B129" s="107"/>
      <c r="C129" s="108"/>
      <c r="D129" s="109"/>
      <c r="E129" s="110"/>
      <c r="F129" s="21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3"/>
      <c r="Y129" s="23"/>
      <c r="Z129" s="23"/>
      <c r="AA129" s="23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40">
        <f t="shared" si="5"/>
        <v>0</v>
      </c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63">
        <f t="shared" si="6"/>
        <v>0</v>
      </c>
      <c r="CF129" s="63">
        <f t="shared" si="7"/>
        <v>0</v>
      </c>
      <c r="CG129" s="64">
        <f t="shared" si="8"/>
        <v>0</v>
      </c>
      <c r="CH129" s="114"/>
      <c r="CI129" s="115">
        <f t="shared" si="9"/>
        <v>0</v>
      </c>
    </row>
    <row r="130" spans="1:87" ht="15" customHeight="1">
      <c r="A130" s="20">
        <v>108</v>
      </c>
      <c r="B130" s="107"/>
      <c r="C130" s="108"/>
      <c r="D130" s="109"/>
      <c r="E130" s="110"/>
      <c r="F130" s="21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3"/>
      <c r="Y130" s="23"/>
      <c r="Z130" s="23"/>
      <c r="AA130" s="23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40">
        <f t="shared" si="5"/>
        <v>0</v>
      </c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63">
        <f t="shared" si="6"/>
        <v>0</v>
      </c>
      <c r="CF130" s="63">
        <f t="shared" si="7"/>
        <v>0</v>
      </c>
      <c r="CG130" s="64">
        <f t="shared" si="8"/>
        <v>0</v>
      </c>
      <c r="CH130" s="114"/>
      <c r="CI130" s="115">
        <f t="shared" si="9"/>
        <v>0</v>
      </c>
    </row>
    <row r="131" spans="1:87" ht="15.75" customHeight="1">
      <c r="A131" s="20">
        <v>109</v>
      </c>
      <c r="B131" s="107"/>
      <c r="C131" s="108"/>
      <c r="D131" s="109"/>
      <c r="E131" s="110"/>
      <c r="F131" s="21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3"/>
      <c r="Y131" s="23"/>
      <c r="Z131" s="23"/>
      <c r="AA131" s="23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40">
        <f t="shared" si="5"/>
        <v>0</v>
      </c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63">
        <f t="shared" si="6"/>
        <v>0</v>
      </c>
      <c r="CF131" s="63">
        <f t="shared" si="7"/>
        <v>0</v>
      </c>
      <c r="CG131" s="64">
        <f t="shared" si="8"/>
        <v>0</v>
      </c>
      <c r="CH131" s="114"/>
      <c r="CI131" s="115">
        <f t="shared" si="9"/>
        <v>0</v>
      </c>
    </row>
    <row r="132" spans="1:87" ht="15" customHeight="1">
      <c r="A132" s="20">
        <v>110</v>
      </c>
      <c r="B132" s="107"/>
      <c r="C132" s="108"/>
      <c r="D132" s="109"/>
      <c r="E132" s="110"/>
      <c r="F132" s="21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3"/>
      <c r="Y132" s="23"/>
      <c r="Z132" s="23"/>
      <c r="AA132" s="23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40">
        <f t="shared" si="5"/>
        <v>0</v>
      </c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63">
        <f t="shared" si="6"/>
        <v>0</v>
      </c>
      <c r="CF132" s="63">
        <f t="shared" si="7"/>
        <v>0</v>
      </c>
      <c r="CG132" s="64">
        <f t="shared" si="8"/>
        <v>0</v>
      </c>
      <c r="CH132" s="114"/>
      <c r="CI132" s="115">
        <f t="shared" si="9"/>
        <v>0</v>
      </c>
    </row>
    <row r="133" spans="1:87" ht="15" customHeight="1">
      <c r="A133" s="20">
        <v>111</v>
      </c>
      <c r="B133" s="107"/>
      <c r="C133" s="108"/>
      <c r="D133" s="109"/>
      <c r="E133" s="110"/>
      <c r="F133" s="21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3"/>
      <c r="Y133" s="23"/>
      <c r="Z133" s="23"/>
      <c r="AA133" s="23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40">
        <f t="shared" si="5"/>
        <v>0</v>
      </c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63">
        <f t="shared" si="6"/>
        <v>0</v>
      </c>
      <c r="CF133" s="63">
        <f t="shared" si="7"/>
        <v>0</v>
      </c>
      <c r="CG133" s="64">
        <f t="shared" si="8"/>
        <v>0</v>
      </c>
      <c r="CH133" s="114"/>
      <c r="CI133" s="115">
        <f t="shared" si="9"/>
        <v>0</v>
      </c>
    </row>
    <row r="134" spans="1:87" ht="15" customHeight="1">
      <c r="A134" s="20">
        <v>112</v>
      </c>
      <c r="B134" s="107"/>
      <c r="C134" s="108"/>
      <c r="D134" s="109"/>
      <c r="E134" s="110"/>
      <c r="F134" s="21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3"/>
      <c r="Y134" s="23"/>
      <c r="Z134" s="23"/>
      <c r="AA134" s="23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40">
        <f t="shared" si="5"/>
        <v>0</v>
      </c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63">
        <f t="shared" si="6"/>
        <v>0</v>
      </c>
      <c r="CF134" s="63">
        <f t="shared" si="7"/>
        <v>0</v>
      </c>
      <c r="CG134" s="64">
        <f t="shared" si="8"/>
        <v>0</v>
      </c>
      <c r="CH134" s="114"/>
      <c r="CI134" s="115">
        <f t="shared" si="9"/>
        <v>0</v>
      </c>
    </row>
    <row r="135" spans="1:87" ht="15" customHeight="1">
      <c r="A135" s="20">
        <v>113</v>
      </c>
      <c r="B135" s="107"/>
      <c r="C135" s="108"/>
      <c r="D135" s="109"/>
      <c r="E135" s="111"/>
      <c r="F135" s="21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3"/>
      <c r="Y135" s="23"/>
      <c r="Z135" s="23"/>
      <c r="AA135" s="23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40">
        <f t="shared" si="5"/>
        <v>0</v>
      </c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63">
        <f t="shared" si="6"/>
        <v>0</v>
      </c>
      <c r="CF135" s="63">
        <f t="shared" si="7"/>
        <v>0</v>
      </c>
      <c r="CG135" s="64">
        <f t="shared" si="8"/>
        <v>0</v>
      </c>
      <c r="CH135" s="114"/>
      <c r="CI135" s="115">
        <f t="shared" si="9"/>
        <v>0</v>
      </c>
    </row>
    <row r="136" spans="1:87" ht="15.75" customHeight="1">
      <c r="A136" s="20">
        <v>114</v>
      </c>
      <c r="B136" s="88"/>
      <c r="C136" s="84"/>
      <c r="D136" s="83"/>
      <c r="E136" s="33"/>
      <c r="F136" s="21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3"/>
      <c r="Y136" s="23"/>
      <c r="Z136" s="23"/>
      <c r="AA136" s="23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40">
        <f t="shared" si="5"/>
        <v>0</v>
      </c>
      <c r="AO136" s="25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63">
        <f t="shared" si="6"/>
        <v>0</v>
      </c>
      <c r="CF136" s="63">
        <f t="shared" si="7"/>
        <v>0</v>
      </c>
      <c r="CG136" s="64">
        <f t="shared" si="8"/>
        <v>0</v>
      </c>
      <c r="CH136" s="65"/>
      <c r="CI136" s="115">
        <f t="shared" si="9"/>
        <v>0</v>
      </c>
    </row>
    <row r="137" spans="1:87" ht="15" customHeight="1">
      <c r="A137" s="20">
        <v>115</v>
      </c>
      <c r="B137" s="88"/>
      <c r="C137" s="84"/>
      <c r="D137" s="83"/>
      <c r="E137" s="33"/>
      <c r="F137" s="21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3"/>
      <c r="Y137" s="23"/>
      <c r="Z137" s="23"/>
      <c r="AA137" s="23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40">
        <f t="shared" si="5"/>
        <v>0</v>
      </c>
      <c r="AO137" s="25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63">
        <f t="shared" si="6"/>
        <v>0</v>
      </c>
      <c r="CF137" s="63">
        <f t="shared" si="7"/>
        <v>0</v>
      </c>
      <c r="CG137" s="64">
        <f t="shared" si="8"/>
        <v>0</v>
      </c>
      <c r="CH137" s="65"/>
      <c r="CI137" s="115">
        <f t="shared" si="9"/>
        <v>0</v>
      </c>
    </row>
    <row r="138" spans="1:87" ht="15" customHeight="1">
      <c r="A138" s="20">
        <v>116</v>
      </c>
      <c r="B138" s="88"/>
      <c r="C138" s="84"/>
      <c r="D138" s="83"/>
      <c r="E138" s="33"/>
      <c r="F138" s="21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3"/>
      <c r="Y138" s="23"/>
      <c r="Z138" s="23"/>
      <c r="AA138" s="23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40">
        <f t="shared" si="5"/>
        <v>0</v>
      </c>
      <c r="AO138" s="25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63">
        <f t="shared" si="6"/>
        <v>0</v>
      </c>
      <c r="CF138" s="63">
        <f t="shared" si="7"/>
        <v>0</v>
      </c>
      <c r="CG138" s="64">
        <f t="shared" si="8"/>
        <v>0</v>
      </c>
      <c r="CH138" s="65"/>
      <c r="CI138" s="115">
        <f t="shared" si="9"/>
        <v>0</v>
      </c>
    </row>
    <row r="139" spans="1:87" ht="15" customHeight="1">
      <c r="A139" s="20">
        <v>117</v>
      </c>
      <c r="B139" s="88"/>
      <c r="C139" s="84"/>
      <c r="D139" s="83"/>
      <c r="E139" s="33"/>
      <c r="F139" s="21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3"/>
      <c r="Y139" s="23"/>
      <c r="Z139" s="23"/>
      <c r="AA139" s="23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40">
        <f t="shared" si="5"/>
        <v>0</v>
      </c>
      <c r="AO139" s="25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63">
        <f t="shared" si="6"/>
        <v>0</v>
      </c>
      <c r="CF139" s="63">
        <f t="shared" si="7"/>
        <v>0</v>
      </c>
      <c r="CG139" s="64">
        <f t="shared" si="8"/>
        <v>0</v>
      </c>
      <c r="CH139" s="65"/>
      <c r="CI139" s="115">
        <f t="shared" si="9"/>
        <v>0</v>
      </c>
    </row>
    <row r="140" spans="1:87" ht="15" customHeight="1">
      <c r="A140" s="20">
        <v>118</v>
      </c>
      <c r="B140" s="88"/>
      <c r="C140" s="84"/>
      <c r="D140" s="83"/>
      <c r="E140" s="33"/>
      <c r="F140" s="21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3"/>
      <c r="Y140" s="23"/>
      <c r="Z140" s="23"/>
      <c r="AA140" s="23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40">
        <f t="shared" si="5"/>
        <v>0</v>
      </c>
      <c r="AO140" s="25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63">
        <f t="shared" si="6"/>
        <v>0</v>
      </c>
      <c r="CF140" s="63">
        <f t="shared" si="7"/>
        <v>0</v>
      </c>
      <c r="CG140" s="64">
        <f t="shared" si="8"/>
        <v>0</v>
      </c>
      <c r="CH140" s="65"/>
      <c r="CI140" s="115">
        <f t="shared" si="9"/>
        <v>0</v>
      </c>
    </row>
    <row r="141" spans="1:87" ht="15.75" customHeight="1">
      <c r="A141" s="20">
        <v>119</v>
      </c>
      <c r="B141" s="88"/>
      <c r="C141" s="84"/>
      <c r="D141" s="83"/>
      <c r="E141" s="33"/>
      <c r="F141" s="21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3"/>
      <c r="Y141" s="23"/>
      <c r="Z141" s="23"/>
      <c r="AA141" s="23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40">
        <f t="shared" si="5"/>
        <v>0</v>
      </c>
      <c r="AO141" s="25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63">
        <f t="shared" si="6"/>
        <v>0</v>
      </c>
      <c r="CF141" s="63">
        <f t="shared" si="7"/>
        <v>0</v>
      </c>
      <c r="CG141" s="64">
        <f t="shared" si="8"/>
        <v>0</v>
      </c>
      <c r="CH141" s="65"/>
      <c r="CI141" s="115">
        <f t="shared" si="9"/>
        <v>0</v>
      </c>
    </row>
    <row r="142" spans="1:87" ht="15" customHeight="1">
      <c r="A142" s="20">
        <v>120</v>
      </c>
      <c r="B142" s="88"/>
      <c r="C142" s="84"/>
      <c r="D142" s="83"/>
      <c r="E142" s="33"/>
      <c r="F142" s="21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3"/>
      <c r="Y142" s="23"/>
      <c r="Z142" s="23"/>
      <c r="AA142" s="23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40">
        <f t="shared" si="5"/>
        <v>0</v>
      </c>
      <c r="AO142" s="25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63">
        <f t="shared" si="6"/>
        <v>0</v>
      </c>
      <c r="CF142" s="63">
        <f t="shared" si="7"/>
        <v>0</v>
      </c>
      <c r="CG142" s="64">
        <f t="shared" si="8"/>
        <v>0</v>
      </c>
      <c r="CH142" s="65"/>
      <c r="CI142" s="115">
        <f t="shared" si="9"/>
        <v>0</v>
      </c>
    </row>
    <row r="143" spans="1:87" ht="15" customHeight="1">
      <c r="A143" s="20">
        <v>121</v>
      </c>
      <c r="B143" s="88"/>
      <c r="C143" s="84"/>
      <c r="D143" s="83"/>
      <c r="E143" s="33"/>
      <c r="F143" s="21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3"/>
      <c r="Y143" s="23"/>
      <c r="Z143" s="23"/>
      <c r="AA143" s="23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40">
        <f t="shared" si="5"/>
        <v>0</v>
      </c>
      <c r="AO143" s="25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63">
        <f t="shared" si="6"/>
        <v>0</v>
      </c>
      <c r="CF143" s="63">
        <f t="shared" si="7"/>
        <v>0</v>
      </c>
      <c r="CG143" s="64">
        <f t="shared" si="8"/>
        <v>0</v>
      </c>
      <c r="CH143" s="65"/>
      <c r="CI143" s="115">
        <f t="shared" si="9"/>
        <v>0</v>
      </c>
    </row>
    <row r="144" spans="1:87" ht="15" customHeight="1">
      <c r="A144" s="20">
        <v>122</v>
      </c>
      <c r="B144" s="88"/>
      <c r="C144" s="84"/>
      <c r="D144" s="83"/>
      <c r="E144" s="33"/>
      <c r="F144" s="21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3"/>
      <c r="Y144" s="23"/>
      <c r="Z144" s="23"/>
      <c r="AA144" s="23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40">
        <f t="shared" si="5"/>
        <v>0</v>
      </c>
      <c r="AO144" s="25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63">
        <f t="shared" si="6"/>
        <v>0</v>
      </c>
      <c r="CF144" s="63">
        <f t="shared" si="7"/>
        <v>0</v>
      </c>
      <c r="CG144" s="64">
        <f t="shared" si="8"/>
        <v>0</v>
      </c>
      <c r="CH144" s="65"/>
      <c r="CI144" s="115">
        <f t="shared" si="9"/>
        <v>0</v>
      </c>
    </row>
    <row r="145" spans="1:87" ht="15" customHeight="1">
      <c r="A145" s="20">
        <v>123</v>
      </c>
      <c r="B145" s="88"/>
      <c r="C145" s="84"/>
      <c r="D145" s="83"/>
      <c r="E145" s="33"/>
      <c r="F145" s="21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3"/>
      <c r="Y145" s="23"/>
      <c r="Z145" s="23"/>
      <c r="AA145" s="23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40">
        <f t="shared" si="5"/>
        <v>0</v>
      </c>
      <c r="AO145" s="25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63">
        <f t="shared" si="6"/>
        <v>0</v>
      </c>
      <c r="CF145" s="63">
        <f t="shared" si="7"/>
        <v>0</v>
      </c>
      <c r="CG145" s="64">
        <f t="shared" si="8"/>
        <v>0</v>
      </c>
      <c r="CH145" s="65"/>
      <c r="CI145" s="115">
        <f t="shared" si="9"/>
        <v>0</v>
      </c>
    </row>
    <row r="146" spans="1:87" ht="15.75" customHeight="1">
      <c r="A146" s="20">
        <v>124</v>
      </c>
      <c r="B146" s="88"/>
      <c r="C146" s="84"/>
      <c r="D146" s="83"/>
      <c r="E146" s="33"/>
      <c r="F146" s="21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3"/>
      <c r="Y146" s="23"/>
      <c r="Z146" s="23"/>
      <c r="AA146" s="23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40">
        <f t="shared" si="5"/>
        <v>0</v>
      </c>
      <c r="AO146" s="25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63">
        <f t="shared" si="6"/>
        <v>0</v>
      </c>
      <c r="CF146" s="63">
        <f t="shared" si="7"/>
        <v>0</v>
      </c>
      <c r="CG146" s="64">
        <f t="shared" si="8"/>
        <v>0</v>
      </c>
      <c r="CH146" s="65"/>
      <c r="CI146" s="115">
        <f t="shared" si="9"/>
        <v>0</v>
      </c>
    </row>
    <row r="147" spans="1:87" ht="15" customHeight="1">
      <c r="A147" s="20">
        <v>125</v>
      </c>
      <c r="B147" s="88"/>
      <c r="C147" s="84"/>
      <c r="D147" s="83"/>
      <c r="E147" s="33"/>
      <c r="F147" s="21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3"/>
      <c r="Y147" s="23"/>
      <c r="Z147" s="23"/>
      <c r="AA147" s="23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40">
        <f t="shared" si="5"/>
        <v>0</v>
      </c>
      <c r="AO147" s="25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63">
        <f t="shared" si="6"/>
        <v>0</v>
      </c>
      <c r="CF147" s="63">
        <f t="shared" si="7"/>
        <v>0</v>
      </c>
      <c r="CG147" s="64">
        <f t="shared" si="8"/>
        <v>0</v>
      </c>
      <c r="CH147" s="65"/>
      <c r="CI147" s="115">
        <f t="shared" si="9"/>
        <v>0</v>
      </c>
    </row>
    <row r="148" spans="1:87" ht="15" customHeight="1">
      <c r="A148" s="20">
        <v>126</v>
      </c>
      <c r="B148" s="88"/>
      <c r="C148" s="84"/>
      <c r="D148" s="83"/>
      <c r="E148" s="33"/>
      <c r="F148" s="21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3"/>
      <c r="Y148" s="23"/>
      <c r="Z148" s="23"/>
      <c r="AA148" s="23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40">
        <f t="shared" si="5"/>
        <v>0</v>
      </c>
      <c r="AO148" s="25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63">
        <f t="shared" si="6"/>
        <v>0</v>
      </c>
      <c r="CF148" s="63">
        <f t="shared" si="7"/>
        <v>0</v>
      </c>
      <c r="CG148" s="64">
        <f t="shared" si="8"/>
        <v>0</v>
      </c>
      <c r="CH148" s="65"/>
      <c r="CI148" s="115">
        <f t="shared" si="9"/>
        <v>0</v>
      </c>
    </row>
    <row r="149" spans="1:87" ht="15" customHeight="1">
      <c r="A149" s="20">
        <v>127</v>
      </c>
      <c r="B149" s="88"/>
      <c r="C149" s="84"/>
      <c r="D149" s="83"/>
      <c r="E149" s="33"/>
      <c r="F149" s="21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3"/>
      <c r="Y149" s="23"/>
      <c r="Z149" s="23"/>
      <c r="AA149" s="23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40">
        <f t="shared" si="5"/>
        <v>0</v>
      </c>
      <c r="AO149" s="25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63">
        <f t="shared" si="6"/>
        <v>0</v>
      </c>
      <c r="CF149" s="63">
        <f t="shared" si="7"/>
        <v>0</v>
      </c>
      <c r="CG149" s="64">
        <f t="shared" si="8"/>
        <v>0</v>
      </c>
      <c r="CH149" s="65"/>
      <c r="CI149" s="115">
        <f t="shared" si="9"/>
        <v>0</v>
      </c>
    </row>
    <row r="150" spans="1:87" ht="15" customHeight="1">
      <c r="A150" s="20">
        <v>128</v>
      </c>
      <c r="B150" s="88"/>
      <c r="C150" s="84"/>
      <c r="D150" s="83"/>
      <c r="E150" s="33"/>
      <c r="F150" s="21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3"/>
      <c r="Y150" s="23"/>
      <c r="Z150" s="23"/>
      <c r="AA150" s="23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40">
        <f t="shared" si="5"/>
        <v>0</v>
      </c>
      <c r="AO150" s="25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63">
        <f t="shared" si="6"/>
        <v>0</v>
      </c>
      <c r="CF150" s="63">
        <f t="shared" si="7"/>
        <v>0</v>
      </c>
      <c r="CG150" s="64">
        <f t="shared" si="8"/>
        <v>0</v>
      </c>
      <c r="CH150" s="65"/>
      <c r="CI150" s="115">
        <f t="shared" si="9"/>
        <v>0</v>
      </c>
    </row>
    <row r="151" spans="1:87" ht="15.75" customHeight="1">
      <c r="A151" s="20">
        <v>129</v>
      </c>
      <c r="B151" s="88"/>
      <c r="C151" s="84"/>
      <c r="D151" s="83"/>
      <c r="E151" s="33"/>
      <c r="F151" s="21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3"/>
      <c r="Y151" s="23"/>
      <c r="Z151" s="23"/>
      <c r="AA151" s="23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40">
        <f t="shared" si="5"/>
        <v>0</v>
      </c>
      <c r="AO151" s="25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63">
        <f t="shared" si="6"/>
        <v>0</v>
      </c>
      <c r="CF151" s="63">
        <f t="shared" si="7"/>
        <v>0</v>
      </c>
      <c r="CG151" s="64">
        <f t="shared" si="8"/>
        <v>0</v>
      </c>
      <c r="CH151" s="65"/>
      <c r="CI151" s="115">
        <f t="shared" si="9"/>
        <v>0</v>
      </c>
    </row>
    <row r="152" spans="1:87" ht="15" customHeight="1">
      <c r="A152" s="20">
        <v>130</v>
      </c>
      <c r="B152" s="88"/>
      <c r="C152" s="84"/>
      <c r="D152" s="83"/>
      <c r="E152" s="33"/>
      <c r="F152" s="21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3"/>
      <c r="Y152" s="23"/>
      <c r="Z152" s="23"/>
      <c r="AA152" s="23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40">
        <f t="shared" ref="AN152:AN215" si="10">SUM(F152:AM152)</f>
        <v>0</v>
      </c>
      <c r="AO152" s="25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63">
        <f t="shared" ref="CE152:CE215" si="11">SUM(AO152:CD152)</f>
        <v>0</v>
      </c>
      <c r="CF152" s="63">
        <f t="shared" ref="CF152:CF215" si="12">SUM(AN152,CE152)</f>
        <v>0</v>
      </c>
      <c r="CG152" s="64">
        <f t="shared" ref="CG152:CG215" si="13">SUM(CF152/140*60)</f>
        <v>0</v>
      </c>
      <c r="CH152" s="65"/>
      <c r="CI152" s="115">
        <f t="shared" ref="CI152:CI215" si="14">SUM(CG152,CH152)</f>
        <v>0</v>
      </c>
    </row>
    <row r="153" spans="1:87" ht="15" customHeight="1">
      <c r="A153" s="20">
        <v>131</v>
      </c>
      <c r="B153" s="87"/>
      <c r="C153" s="85"/>
      <c r="D153" s="83"/>
      <c r="E153" s="33"/>
      <c r="F153" s="21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3"/>
      <c r="Y153" s="23"/>
      <c r="Z153" s="23"/>
      <c r="AA153" s="23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40">
        <f t="shared" si="10"/>
        <v>0</v>
      </c>
      <c r="AO153" s="25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63">
        <f t="shared" si="11"/>
        <v>0</v>
      </c>
      <c r="CF153" s="63">
        <f t="shared" si="12"/>
        <v>0</v>
      </c>
      <c r="CG153" s="64">
        <f t="shared" si="13"/>
        <v>0</v>
      </c>
      <c r="CH153" s="65"/>
      <c r="CI153" s="115">
        <f t="shared" si="14"/>
        <v>0</v>
      </c>
    </row>
    <row r="154" spans="1:87" ht="15" customHeight="1">
      <c r="A154" s="20">
        <v>132</v>
      </c>
      <c r="B154" s="87"/>
      <c r="C154" s="85"/>
      <c r="D154" s="83"/>
      <c r="E154" s="33"/>
      <c r="F154" s="21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3"/>
      <c r="Y154" s="23"/>
      <c r="Z154" s="23"/>
      <c r="AA154" s="23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40">
        <f t="shared" si="10"/>
        <v>0</v>
      </c>
      <c r="AO154" s="25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63">
        <f t="shared" si="11"/>
        <v>0</v>
      </c>
      <c r="CF154" s="63">
        <f t="shared" si="12"/>
        <v>0</v>
      </c>
      <c r="CG154" s="64">
        <f t="shared" si="13"/>
        <v>0</v>
      </c>
      <c r="CH154" s="65"/>
      <c r="CI154" s="115">
        <f t="shared" si="14"/>
        <v>0</v>
      </c>
    </row>
    <row r="155" spans="1:87" ht="15" customHeight="1">
      <c r="A155" s="20">
        <v>133</v>
      </c>
      <c r="B155" s="87"/>
      <c r="C155" s="85"/>
      <c r="D155" s="83"/>
      <c r="E155" s="33"/>
      <c r="F155" s="21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3"/>
      <c r="Y155" s="23"/>
      <c r="Z155" s="23"/>
      <c r="AA155" s="23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40">
        <f t="shared" si="10"/>
        <v>0</v>
      </c>
      <c r="AO155" s="25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63">
        <f t="shared" si="11"/>
        <v>0</v>
      </c>
      <c r="CF155" s="63">
        <f t="shared" si="12"/>
        <v>0</v>
      </c>
      <c r="CG155" s="64">
        <f t="shared" si="13"/>
        <v>0</v>
      </c>
      <c r="CH155" s="65"/>
      <c r="CI155" s="115">
        <f t="shared" si="14"/>
        <v>0</v>
      </c>
    </row>
    <row r="156" spans="1:87" ht="15.75" customHeight="1">
      <c r="A156" s="20">
        <v>134</v>
      </c>
      <c r="B156" s="87"/>
      <c r="C156" s="85"/>
      <c r="D156" s="83"/>
      <c r="E156" s="33"/>
      <c r="F156" s="21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3"/>
      <c r="Y156" s="23"/>
      <c r="Z156" s="23"/>
      <c r="AA156" s="23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40">
        <f t="shared" si="10"/>
        <v>0</v>
      </c>
      <c r="AO156" s="25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63">
        <f t="shared" si="11"/>
        <v>0</v>
      </c>
      <c r="CF156" s="63">
        <f t="shared" si="12"/>
        <v>0</v>
      </c>
      <c r="CG156" s="64">
        <f t="shared" si="13"/>
        <v>0</v>
      </c>
      <c r="CH156" s="65"/>
      <c r="CI156" s="115">
        <f t="shared" si="14"/>
        <v>0</v>
      </c>
    </row>
    <row r="157" spans="1:87" ht="15" customHeight="1">
      <c r="A157" s="20">
        <v>135</v>
      </c>
      <c r="B157" s="87"/>
      <c r="C157" s="85"/>
      <c r="D157" s="83"/>
      <c r="E157" s="33"/>
      <c r="F157" s="21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3"/>
      <c r="Y157" s="23"/>
      <c r="Z157" s="23"/>
      <c r="AA157" s="23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40">
        <f t="shared" si="10"/>
        <v>0</v>
      </c>
      <c r="AO157" s="25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63">
        <f t="shared" si="11"/>
        <v>0</v>
      </c>
      <c r="CF157" s="63">
        <f t="shared" si="12"/>
        <v>0</v>
      </c>
      <c r="CG157" s="64">
        <f t="shared" si="13"/>
        <v>0</v>
      </c>
      <c r="CH157" s="65"/>
      <c r="CI157" s="115">
        <f t="shared" si="14"/>
        <v>0</v>
      </c>
    </row>
    <row r="158" spans="1:87" ht="15" customHeight="1">
      <c r="A158" s="20">
        <v>136</v>
      </c>
      <c r="B158" s="87"/>
      <c r="C158" s="85"/>
      <c r="D158" s="83"/>
      <c r="E158" s="33"/>
      <c r="F158" s="21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3"/>
      <c r="Y158" s="23"/>
      <c r="Z158" s="23"/>
      <c r="AA158" s="23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40">
        <f t="shared" si="10"/>
        <v>0</v>
      </c>
      <c r="AO158" s="25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63">
        <f t="shared" si="11"/>
        <v>0</v>
      </c>
      <c r="CF158" s="63">
        <f t="shared" si="12"/>
        <v>0</v>
      </c>
      <c r="CG158" s="64">
        <f t="shared" si="13"/>
        <v>0</v>
      </c>
      <c r="CH158" s="65"/>
      <c r="CI158" s="115">
        <f t="shared" si="14"/>
        <v>0</v>
      </c>
    </row>
    <row r="159" spans="1:87" ht="15" customHeight="1">
      <c r="A159" s="20">
        <v>137</v>
      </c>
      <c r="B159" s="87"/>
      <c r="C159" s="85"/>
      <c r="D159" s="83"/>
      <c r="E159" s="33"/>
      <c r="F159" s="21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3"/>
      <c r="Y159" s="23"/>
      <c r="Z159" s="23"/>
      <c r="AA159" s="23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40">
        <f t="shared" si="10"/>
        <v>0</v>
      </c>
      <c r="AO159" s="25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63">
        <f t="shared" si="11"/>
        <v>0</v>
      </c>
      <c r="CF159" s="63">
        <f t="shared" si="12"/>
        <v>0</v>
      </c>
      <c r="CG159" s="64">
        <f t="shared" si="13"/>
        <v>0</v>
      </c>
      <c r="CH159" s="65"/>
      <c r="CI159" s="115">
        <f t="shared" si="14"/>
        <v>0</v>
      </c>
    </row>
    <row r="160" spans="1:87" ht="15" customHeight="1">
      <c r="A160" s="20">
        <v>138</v>
      </c>
      <c r="B160" s="87"/>
      <c r="C160" s="85"/>
      <c r="D160" s="83"/>
      <c r="E160" s="33"/>
      <c r="F160" s="21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3"/>
      <c r="Y160" s="23"/>
      <c r="Z160" s="23"/>
      <c r="AA160" s="23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40">
        <f t="shared" si="10"/>
        <v>0</v>
      </c>
      <c r="AO160" s="25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63">
        <f t="shared" si="11"/>
        <v>0</v>
      </c>
      <c r="CF160" s="63">
        <f t="shared" si="12"/>
        <v>0</v>
      </c>
      <c r="CG160" s="64">
        <f t="shared" si="13"/>
        <v>0</v>
      </c>
      <c r="CH160" s="65"/>
      <c r="CI160" s="115">
        <f t="shared" si="14"/>
        <v>0</v>
      </c>
    </row>
    <row r="161" spans="1:87" ht="15.75" customHeight="1">
      <c r="A161" s="20">
        <v>139</v>
      </c>
      <c r="B161" s="87"/>
      <c r="C161" s="85"/>
      <c r="D161" s="83"/>
      <c r="E161" s="33"/>
      <c r="F161" s="21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3"/>
      <c r="Y161" s="23"/>
      <c r="Z161" s="23"/>
      <c r="AA161" s="23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40">
        <f t="shared" si="10"/>
        <v>0</v>
      </c>
      <c r="AO161" s="25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63">
        <f t="shared" si="11"/>
        <v>0</v>
      </c>
      <c r="CF161" s="63">
        <f t="shared" si="12"/>
        <v>0</v>
      </c>
      <c r="CG161" s="64">
        <f t="shared" si="13"/>
        <v>0</v>
      </c>
      <c r="CH161" s="65"/>
      <c r="CI161" s="115">
        <f t="shared" si="14"/>
        <v>0</v>
      </c>
    </row>
    <row r="162" spans="1:87" ht="15" customHeight="1">
      <c r="A162" s="20">
        <v>140</v>
      </c>
      <c r="B162" s="87"/>
      <c r="C162" s="85"/>
      <c r="D162" s="83"/>
      <c r="E162" s="33"/>
      <c r="F162" s="21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3"/>
      <c r="Y162" s="23"/>
      <c r="Z162" s="23"/>
      <c r="AA162" s="23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40">
        <f t="shared" si="10"/>
        <v>0</v>
      </c>
      <c r="AO162" s="25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63">
        <f t="shared" si="11"/>
        <v>0</v>
      </c>
      <c r="CF162" s="63">
        <f t="shared" si="12"/>
        <v>0</v>
      </c>
      <c r="CG162" s="64">
        <f t="shared" si="13"/>
        <v>0</v>
      </c>
      <c r="CH162" s="65"/>
      <c r="CI162" s="115">
        <f t="shared" si="14"/>
        <v>0</v>
      </c>
    </row>
    <row r="163" spans="1:87" ht="15" customHeight="1">
      <c r="A163" s="20">
        <v>141</v>
      </c>
      <c r="B163" s="87"/>
      <c r="C163" s="85"/>
      <c r="D163" s="83"/>
      <c r="E163" s="33"/>
      <c r="F163" s="21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3"/>
      <c r="Y163" s="23"/>
      <c r="Z163" s="23"/>
      <c r="AA163" s="23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40">
        <f t="shared" si="10"/>
        <v>0</v>
      </c>
      <c r="AO163" s="25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63">
        <f t="shared" si="11"/>
        <v>0</v>
      </c>
      <c r="CF163" s="63">
        <f t="shared" si="12"/>
        <v>0</v>
      </c>
      <c r="CG163" s="64">
        <f t="shared" si="13"/>
        <v>0</v>
      </c>
      <c r="CH163" s="65"/>
      <c r="CI163" s="115">
        <f t="shared" si="14"/>
        <v>0</v>
      </c>
    </row>
    <row r="164" spans="1:87" ht="15" customHeight="1">
      <c r="A164" s="20">
        <v>142</v>
      </c>
      <c r="B164" s="87"/>
      <c r="C164" s="85"/>
      <c r="D164" s="83"/>
      <c r="E164" s="33"/>
      <c r="F164" s="21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3"/>
      <c r="Y164" s="23"/>
      <c r="Z164" s="23"/>
      <c r="AA164" s="23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40">
        <f t="shared" si="10"/>
        <v>0</v>
      </c>
      <c r="AO164" s="25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63">
        <f t="shared" si="11"/>
        <v>0</v>
      </c>
      <c r="CF164" s="63">
        <f t="shared" si="12"/>
        <v>0</v>
      </c>
      <c r="CG164" s="64">
        <f t="shared" si="13"/>
        <v>0</v>
      </c>
      <c r="CH164" s="65"/>
      <c r="CI164" s="115">
        <f t="shared" si="14"/>
        <v>0</v>
      </c>
    </row>
    <row r="165" spans="1:87" ht="15" customHeight="1">
      <c r="A165" s="20">
        <v>143</v>
      </c>
      <c r="B165" s="87"/>
      <c r="C165" s="85"/>
      <c r="D165" s="83"/>
      <c r="E165" s="33"/>
      <c r="F165" s="21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3"/>
      <c r="Y165" s="23"/>
      <c r="Z165" s="23"/>
      <c r="AA165" s="23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40">
        <f t="shared" si="10"/>
        <v>0</v>
      </c>
      <c r="AO165" s="25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63">
        <f t="shared" si="11"/>
        <v>0</v>
      </c>
      <c r="CF165" s="63">
        <f t="shared" si="12"/>
        <v>0</v>
      </c>
      <c r="CG165" s="64">
        <f t="shared" si="13"/>
        <v>0</v>
      </c>
      <c r="CH165" s="65"/>
      <c r="CI165" s="115">
        <f t="shared" si="14"/>
        <v>0</v>
      </c>
    </row>
    <row r="166" spans="1:87" ht="15.75" customHeight="1">
      <c r="A166" s="20">
        <v>144</v>
      </c>
      <c r="B166" s="87"/>
      <c r="C166" s="85"/>
      <c r="D166" s="83"/>
      <c r="E166" s="33"/>
      <c r="F166" s="21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3"/>
      <c r="Y166" s="23"/>
      <c r="Z166" s="23"/>
      <c r="AA166" s="23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40">
        <f t="shared" si="10"/>
        <v>0</v>
      </c>
      <c r="AO166" s="25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63">
        <f t="shared" si="11"/>
        <v>0</v>
      </c>
      <c r="CF166" s="63">
        <f t="shared" si="12"/>
        <v>0</v>
      </c>
      <c r="CG166" s="64">
        <f t="shared" si="13"/>
        <v>0</v>
      </c>
      <c r="CH166" s="65"/>
      <c r="CI166" s="115">
        <f t="shared" si="14"/>
        <v>0</v>
      </c>
    </row>
    <row r="167" spans="1:87" ht="15" customHeight="1">
      <c r="A167" s="20">
        <v>145</v>
      </c>
      <c r="B167" s="87"/>
      <c r="C167" s="85"/>
      <c r="D167" s="83"/>
      <c r="E167" s="33"/>
      <c r="F167" s="21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3"/>
      <c r="Y167" s="23"/>
      <c r="Z167" s="23"/>
      <c r="AA167" s="23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40">
        <f t="shared" si="10"/>
        <v>0</v>
      </c>
      <c r="AO167" s="25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63">
        <f t="shared" si="11"/>
        <v>0</v>
      </c>
      <c r="CF167" s="63">
        <f t="shared" si="12"/>
        <v>0</v>
      </c>
      <c r="CG167" s="64">
        <f t="shared" si="13"/>
        <v>0</v>
      </c>
      <c r="CH167" s="65"/>
      <c r="CI167" s="115">
        <f t="shared" si="14"/>
        <v>0</v>
      </c>
    </row>
    <row r="168" spans="1:87" ht="15" customHeight="1">
      <c r="A168" s="20">
        <v>146</v>
      </c>
      <c r="B168" s="87"/>
      <c r="C168" s="85"/>
      <c r="D168" s="83"/>
      <c r="E168" s="33"/>
      <c r="F168" s="21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3"/>
      <c r="Y168" s="23"/>
      <c r="Z168" s="23"/>
      <c r="AA168" s="23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40">
        <f t="shared" si="10"/>
        <v>0</v>
      </c>
      <c r="AO168" s="25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63">
        <f t="shared" si="11"/>
        <v>0</v>
      </c>
      <c r="CF168" s="63">
        <f t="shared" si="12"/>
        <v>0</v>
      </c>
      <c r="CG168" s="64">
        <f t="shared" si="13"/>
        <v>0</v>
      </c>
      <c r="CH168" s="65"/>
      <c r="CI168" s="115">
        <f t="shared" si="14"/>
        <v>0</v>
      </c>
    </row>
    <row r="169" spans="1:87" ht="15" customHeight="1">
      <c r="A169" s="20">
        <v>147</v>
      </c>
      <c r="B169" s="87"/>
      <c r="C169" s="85"/>
      <c r="D169" s="83"/>
      <c r="E169" s="33"/>
      <c r="F169" s="21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3"/>
      <c r="Y169" s="23"/>
      <c r="Z169" s="23"/>
      <c r="AA169" s="23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40">
        <f t="shared" si="10"/>
        <v>0</v>
      </c>
      <c r="AO169" s="25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63">
        <f t="shared" si="11"/>
        <v>0</v>
      </c>
      <c r="CF169" s="63">
        <f t="shared" si="12"/>
        <v>0</v>
      </c>
      <c r="CG169" s="64">
        <f t="shared" si="13"/>
        <v>0</v>
      </c>
      <c r="CH169" s="65"/>
      <c r="CI169" s="115">
        <f t="shared" si="14"/>
        <v>0</v>
      </c>
    </row>
    <row r="170" spans="1:87" ht="15" customHeight="1">
      <c r="A170" s="20">
        <v>148</v>
      </c>
      <c r="B170" s="87"/>
      <c r="C170" s="85"/>
      <c r="D170" s="83"/>
      <c r="E170" s="33"/>
      <c r="F170" s="21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3"/>
      <c r="Y170" s="23"/>
      <c r="Z170" s="23"/>
      <c r="AA170" s="23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40">
        <f t="shared" si="10"/>
        <v>0</v>
      </c>
      <c r="AO170" s="25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63">
        <f t="shared" si="11"/>
        <v>0</v>
      </c>
      <c r="CF170" s="63">
        <f t="shared" si="12"/>
        <v>0</v>
      </c>
      <c r="CG170" s="64">
        <f t="shared" si="13"/>
        <v>0</v>
      </c>
      <c r="CH170" s="65"/>
      <c r="CI170" s="115">
        <f t="shared" si="14"/>
        <v>0</v>
      </c>
    </row>
    <row r="171" spans="1:87" ht="15.75" customHeight="1">
      <c r="A171" s="20">
        <v>149</v>
      </c>
      <c r="B171" s="87"/>
      <c r="C171" s="85"/>
      <c r="D171" s="83"/>
      <c r="E171" s="33"/>
      <c r="F171" s="21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3"/>
      <c r="Y171" s="23"/>
      <c r="Z171" s="23"/>
      <c r="AA171" s="23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40">
        <f t="shared" si="10"/>
        <v>0</v>
      </c>
      <c r="AO171" s="25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63">
        <f t="shared" si="11"/>
        <v>0</v>
      </c>
      <c r="CF171" s="63">
        <f t="shared" si="12"/>
        <v>0</v>
      </c>
      <c r="CG171" s="64">
        <f t="shared" si="13"/>
        <v>0</v>
      </c>
      <c r="CH171" s="65"/>
      <c r="CI171" s="115">
        <f t="shared" si="14"/>
        <v>0</v>
      </c>
    </row>
    <row r="172" spans="1:87" ht="15" customHeight="1">
      <c r="A172" s="20">
        <v>150</v>
      </c>
      <c r="B172" s="87"/>
      <c r="C172" s="85"/>
      <c r="D172" s="83"/>
      <c r="E172" s="33"/>
      <c r="F172" s="21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3"/>
      <c r="Y172" s="23"/>
      <c r="Z172" s="23"/>
      <c r="AA172" s="23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40">
        <f t="shared" si="10"/>
        <v>0</v>
      </c>
      <c r="AO172" s="25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63">
        <f t="shared" si="11"/>
        <v>0</v>
      </c>
      <c r="CF172" s="63">
        <f t="shared" si="12"/>
        <v>0</v>
      </c>
      <c r="CG172" s="64">
        <f t="shared" si="13"/>
        <v>0</v>
      </c>
      <c r="CH172" s="65"/>
      <c r="CI172" s="115">
        <f t="shared" si="14"/>
        <v>0</v>
      </c>
    </row>
    <row r="173" spans="1:87" ht="15" customHeight="1">
      <c r="A173" s="20">
        <v>151</v>
      </c>
      <c r="B173" s="87"/>
      <c r="C173" s="85"/>
      <c r="D173" s="83"/>
      <c r="E173" s="33"/>
      <c r="F173" s="21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3"/>
      <c r="Y173" s="23"/>
      <c r="Z173" s="23"/>
      <c r="AA173" s="23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40">
        <f t="shared" si="10"/>
        <v>0</v>
      </c>
      <c r="AO173" s="25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63">
        <f t="shared" si="11"/>
        <v>0</v>
      </c>
      <c r="CF173" s="63">
        <f t="shared" si="12"/>
        <v>0</v>
      </c>
      <c r="CG173" s="64">
        <f t="shared" si="13"/>
        <v>0</v>
      </c>
      <c r="CH173" s="65"/>
      <c r="CI173" s="115">
        <f t="shared" si="14"/>
        <v>0</v>
      </c>
    </row>
    <row r="174" spans="1:87" ht="15" customHeight="1">
      <c r="A174" s="20">
        <v>152</v>
      </c>
      <c r="B174" s="87"/>
      <c r="C174" s="85"/>
      <c r="D174" s="83"/>
      <c r="E174" s="33"/>
      <c r="F174" s="21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3"/>
      <c r="Y174" s="23"/>
      <c r="Z174" s="23"/>
      <c r="AA174" s="23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40">
        <f t="shared" si="10"/>
        <v>0</v>
      </c>
      <c r="AO174" s="25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63">
        <f t="shared" si="11"/>
        <v>0</v>
      </c>
      <c r="CF174" s="63">
        <f t="shared" si="12"/>
        <v>0</v>
      </c>
      <c r="CG174" s="64">
        <f t="shared" si="13"/>
        <v>0</v>
      </c>
      <c r="CH174" s="65"/>
      <c r="CI174" s="115">
        <f t="shared" si="14"/>
        <v>0</v>
      </c>
    </row>
    <row r="175" spans="1:87" ht="15" customHeight="1">
      <c r="A175" s="20">
        <v>153</v>
      </c>
      <c r="B175" s="87"/>
      <c r="C175" s="85"/>
      <c r="D175" s="83"/>
      <c r="E175" s="33"/>
      <c r="F175" s="21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3"/>
      <c r="Y175" s="23"/>
      <c r="Z175" s="23"/>
      <c r="AA175" s="23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40">
        <f t="shared" si="10"/>
        <v>0</v>
      </c>
      <c r="AO175" s="25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63">
        <f t="shared" si="11"/>
        <v>0</v>
      </c>
      <c r="CF175" s="63">
        <f t="shared" si="12"/>
        <v>0</v>
      </c>
      <c r="CG175" s="64">
        <f t="shared" si="13"/>
        <v>0</v>
      </c>
      <c r="CH175" s="65"/>
      <c r="CI175" s="115">
        <f t="shared" si="14"/>
        <v>0</v>
      </c>
    </row>
    <row r="176" spans="1:87" ht="15.75" customHeight="1">
      <c r="A176" s="20">
        <v>154</v>
      </c>
      <c r="B176" s="87"/>
      <c r="C176" s="85"/>
      <c r="D176" s="83"/>
      <c r="E176" s="33"/>
      <c r="F176" s="21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3"/>
      <c r="Y176" s="23"/>
      <c r="Z176" s="23"/>
      <c r="AA176" s="23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40">
        <f t="shared" si="10"/>
        <v>0</v>
      </c>
      <c r="AO176" s="25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63">
        <f t="shared" si="11"/>
        <v>0</v>
      </c>
      <c r="CF176" s="63">
        <f t="shared" si="12"/>
        <v>0</v>
      </c>
      <c r="CG176" s="64">
        <f t="shared" si="13"/>
        <v>0</v>
      </c>
      <c r="CH176" s="65"/>
      <c r="CI176" s="115">
        <f t="shared" si="14"/>
        <v>0</v>
      </c>
    </row>
    <row r="177" spans="1:87" ht="15" customHeight="1">
      <c r="A177" s="20">
        <v>155</v>
      </c>
      <c r="B177" s="87"/>
      <c r="C177" s="85"/>
      <c r="D177" s="83"/>
      <c r="E177" s="33"/>
      <c r="F177" s="21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3"/>
      <c r="Y177" s="23"/>
      <c r="Z177" s="23"/>
      <c r="AA177" s="23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40">
        <f t="shared" si="10"/>
        <v>0</v>
      </c>
      <c r="AO177" s="25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63">
        <f t="shared" si="11"/>
        <v>0</v>
      </c>
      <c r="CF177" s="63">
        <f t="shared" si="12"/>
        <v>0</v>
      </c>
      <c r="CG177" s="64">
        <f t="shared" si="13"/>
        <v>0</v>
      </c>
      <c r="CH177" s="65"/>
      <c r="CI177" s="115">
        <f t="shared" si="14"/>
        <v>0</v>
      </c>
    </row>
    <row r="178" spans="1:87" ht="15" customHeight="1">
      <c r="A178" s="20">
        <v>156</v>
      </c>
      <c r="B178" s="87"/>
      <c r="C178" s="85"/>
      <c r="D178" s="83"/>
      <c r="E178" s="33"/>
      <c r="F178" s="21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3"/>
      <c r="Y178" s="23"/>
      <c r="Z178" s="23"/>
      <c r="AA178" s="23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40">
        <f t="shared" si="10"/>
        <v>0</v>
      </c>
      <c r="AO178" s="25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63">
        <f t="shared" si="11"/>
        <v>0</v>
      </c>
      <c r="CF178" s="63">
        <f t="shared" si="12"/>
        <v>0</v>
      </c>
      <c r="CG178" s="64">
        <f t="shared" si="13"/>
        <v>0</v>
      </c>
      <c r="CH178" s="65"/>
      <c r="CI178" s="115">
        <f t="shared" si="14"/>
        <v>0</v>
      </c>
    </row>
    <row r="179" spans="1:87" ht="15" customHeight="1">
      <c r="A179" s="20">
        <v>157</v>
      </c>
      <c r="B179" s="88"/>
      <c r="C179" s="82"/>
      <c r="D179" s="83"/>
      <c r="E179" s="33"/>
      <c r="F179" s="21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3"/>
      <c r="Y179" s="23"/>
      <c r="Z179" s="23"/>
      <c r="AA179" s="23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40">
        <f t="shared" si="10"/>
        <v>0</v>
      </c>
      <c r="AO179" s="25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63">
        <f t="shared" si="11"/>
        <v>0</v>
      </c>
      <c r="CF179" s="63">
        <f t="shared" si="12"/>
        <v>0</v>
      </c>
      <c r="CG179" s="64">
        <f t="shared" si="13"/>
        <v>0</v>
      </c>
      <c r="CH179" s="65"/>
      <c r="CI179" s="115">
        <f t="shared" si="14"/>
        <v>0</v>
      </c>
    </row>
    <row r="180" spans="1:87" ht="15" customHeight="1">
      <c r="A180" s="20">
        <v>158</v>
      </c>
      <c r="B180" s="88"/>
      <c r="C180" s="82"/>
      <c r="D180" s="83"/>
      <c r="E180" s="33"/>
      <c r="F180" s="21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3"/>
      <c r="Y180" s="23"/>
      <c r="Z180" s="23"/>
      <c r="AA180" s="23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40">
        <f t="shared" si="10"/>
        <v>0</v>
      </c>
      <c r="AO180" s="25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63">
        <f t="shared" si="11"/>
        <v>0</v>
      </c>
      <c r="CF180" s="63">
        <f t="shared" si="12"/>
        <v>0</v>
      </c>
      <c r="CG180" s="64">
        <f t="shared" si="13"/>
        <v>0</v>
      </c>
      <c r="CH180" s="65"/>
      <c r="CI180" s="115">
        <f t="shared" si="14"/>
        <v>0</v>
      </c>
    </row>
    <row r="181" spans="1:87" ht="15.75" customHeight="1">
      <c r="A181" s="20">
        <v>159</v>
      </c>
      <c r="B181" s="88"/>
      <c r="C181" s="82"/>
      <c r="D181" s="83"/>
      <c r="E181" s="33"/>
      <c r="F181" s="21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3"/>
      <c r="Y181" s="23"/>
      <c r="Z181" s="23"/>
      <c r="AA181" s="23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40">
        <f t="shared" si="10"/>
        <v>0</v>
      </c>
      <c r="AO181" s="25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63">
        <f t="shared" si="11"/>
        <v>0</v>
      </c>
      <c r="CF181" s="63">
        <f t="shared" si="12"/>
        <v>0</v>
      </c>
      <c r="CG181" s="64">
        <f t="shared" si="13"/>
        <v>0</v>
      </c>
      <c r="CH181" s="65"/>
      <c r="CI181" s="115">
        <f t="shared" si="14"/>
        <v>0</v>
      </c>
    </row>
    <row r="182" spans="1:87" ht="15" customHeight="1">
      <c r="A182" s="20">
        <v>160</v>
      </c>
      <c r="B182" s="88"/>
      <c r="C182" s="82"/>
      <c r="D182" s="83"/>
      <c r="E182" s="33"/>
      <c r="F182" s="21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3"/>
      <c r="Y182" s="23"/>
      <c r="Z182" s="23"/>
      <c r="AA182" s="23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40">
        <f t="shared" si="10"/>
        <v>0</v>
      </c>
      <c r="AO182" s="25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63">
        <f t="shared" si="11"/>
        <v>0</v>
      </c>
      <c r="CF182" s="63">
        <f t="shared" si="12"/>
        <v>0</v>
      </c>
      <c r="CG182" s="64">
        <f t="shared" si="13"/>
        <v>0</v>
      </c>
      <c r="CH182" s="65"/>
      <c r="CI182" s="115">
        <f t="shared" si="14"/>
        <v>0</v>
      </c>
    </row>
    <row r="183" spans="1:87" ht="15" customHeight="1">
      <c r="A183" s="20">
        <v>161</v>
      </c>
      <c r="B183" s="88"/>
      <c r="C183" s="82"/>
      <c r="D183" s="83"/>
      <c r="E183" s="33"/>
      <c r="F183" s="21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3"/>
      <c r="Y183" s="23"/>
      <c r="Z183" s="23"/>
      <c r="AA183" s="23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40">
        <f t="shared" si="10"/>
        <v>0</v>
      </c>
      <c r="AO183" s="25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63">
        <f t="shared" si="11"/>
        <v>0</v>
      </c>
      <c r="CF183" s="63">
        <f t="shared" si="12"/>
        <v>0</v>
      </c>
      <c r="CG183" s="64">
        <f t="shared" si="13"/>
        <v>0</v>
      </c>
      <c r="CH183" s="65"/>
      <c r="CI183" s="115">
        <f t="shared" si="14"/>
        <v>0</v>
      </c>
    </row>
    <row r="184" spans="1:87" ht="15" customHeight="1">
      <c r="A184" s="20">
        <v>162</v>
      </c>
      <c r="B184" s="88"/>
      <c r="C184" s="82"/>
      <c r="D184" s="83"/>
      <c r="E184" s="33"/>
      <c r="F184" s="21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3"/>
      <c r="Y184" s="23"/>
      <c r="Z184" s="23"/>
      <c r="AA184" s="23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40">
        <f t="shared" si="10"/>
        <v>0</v>
      </c>
      <c r="AO184" s="25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63">
        <f t="shared" si="11"/>
        <v>0</v>
      </c>
      <c r="CF184" s="63">
        <f t="shared" si="12"/>
        <v>0</v>
      </c>
      <c r="CG184" s="64">
        <f t="shared" si="13"/>
        <v>0</v>
      </c>
      <c r="CH184" s="65"/>
      <c r="CI184" s="115">
        <f t="shared" si="14"/>
        <v>0</v>
      </c>
    </row>
    <row r="185" spans="1:87" ht="15" customHeight="1">
      <c r="A185" s="20">
        <v>163</v>
      </c>
      <c r="B185" s="88"/>
      <c r="C185" s="82"/>
      <c r="D185" s="83"/>
      <c r="E185" s="33"/>
      <c r="F185" s="21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3"/>
      <c r="Y185" s="23"/>
      <c r="Z185" s="23"/>
      <c r="AA185" s="23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40">
        <f t="shared" si="10"/>
        <v>0</v>
      </c>
      <c r="AO185" s="25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63">
        <f t="shared" si="11"/>
        <v>0</v>
      </c>
      <c r="CF185" s="63">
        <f t="shared" si="12"/>
        <v>0</v>
      </c>
      <c r="CG185" s="64">
        <f t="shared" si="13"/>
        <v>0</v>
      </c>
      <c r="CH185" s="65"/>
      <c r="CI185" s="115">
        <f t="shared" si="14"/>
        <v>0</v>
      </c>
    </row>
    <row r="186" spans="1:87" ht="15.75" customHeight="1">
      <c r="A186" s="20">
        <v>164</v>
      </c>
      <c r="B186" s="88"/>
      <c r="C186" s="82"/>
      <c r="D186" s="83"/>
      <c r="E186" s="33"/>
      <c r="F186" s="21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3"/>
      <c r="Y186" s="23"/>
      <c r="Z186" s="23"/>
      <c r="AA186" s="23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40">
        <f t="shared" si="10"/>
        <v>0</v>
      </c>
      <c r="AO186" s="25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63">
        <f t="shared" si="11"/>
        <v>0</v>
      </c>
      <c r="CF186" s="63">
        <f t="shared" si="12"/>
        <v>0</v>
      </c>
      <c r="CG186" s="64">
        <f t="shared" si="13"/>
        <v>0</v>
      </c>
      <c r="CH186" s="65"/>
      <c r="CI186" s="115">
        <f t="shared" si="14"/>
        <v>0</v>
      </c>
    </row>
    <row r="187" spans="1:87" ht="15" customHeight="1">
      <c r="A187" s="20">
        <v>165</v>
      </c>
      <c r="B187" s="88"/>
      <c r="C187" s="82"/>
      <c r="D187" s="83"/>
      <c r="E187" s="33"/>
      <c r="F187" s="21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3"/>
      <c r="Y187" s="23"/>
      <c r="Z187" s="23"/>
      <c r="AA187" s="23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40">
        <f t="shared" si="10"/>
        <v>0</v>
      </c>
      <c r="AO187" s="25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63">
        <f t="shared" si="11"/>
        <v>0</v>
      </c>
      <c r="CF187" s="63">
        <f t="shared" si="12"/>
        <v>0</v>
      </c>
      <c r="CG187" s="64">
        <f t="shared" si="13"/>
        <v>0</v>
      </c>
      <c r="CH187" s="65"/>
      <c r="CI187" s="115">
        <f t="shared" si="14"/>
        <v>0</v>
      </c>
    </row>
    <row r="188" spans="1:87" ht="15" customHeight="1">
      <c r="A188" s="20">
        <v>166</v>
      </c>
      <c r="B188" s="88"/>
      <c r="C188" s="82"/>
      <c r="D188" s="83"/>
      <c r="E188" s="33"/>
      <c r="F188" s="21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3"/>
      <c r="Y188" s="23"/>
      <c r="Z188" s="23"/>
      <c r="AA188" s="23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40">
        <f t="shared" si="10"/>
        <v>0</v>
      </c>
      <c r="AO188" s="25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63">
        <f t="shared" si="11"/>
        <v>0</v>
      </c>
      <c r="CF188" s="63">
        <f t="shared" si="12"/>
        <v>0</v>
      </c>
      <c r="CG188" s="64">
        <f t="shared" si="13"/>
        <v>0</v>
      </c>
      <c r="CH188" s="65"/>
      <c r="CI188" s="115">
        <f t="shared" si="14"/>
        <v>0</v>
      </c>
    </row>
    <row r="189" spans="1:87" ht="15" customHeight="1">
      <c r="A189" s="20">
        <v>167</v>
      </c>
      <c r="B189" s="88"/>
      <c r="C189" s="82"/>
      <c r="D189" s="83"/>
      <c r="E189" s="33"/>
      <c r="F189" s="21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3"/>
      <c r="Y189" s="23"/>
      <c r="Z189" s="23"/>
      <c r="AA189" s="23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40">
        <f t="shared" si="10"/>
        <v>0</v>
      </c>
      <c r="AO189" s="25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63">
        <f t="shared" si="11"/>
        <v>0</v>
      </c>
      <c r="CF189" s="63">
        <f t="shared" si="12"/>
        <v>0</v>
      </c>
      <c r="CG189" s="64">
        <f t="shared" si="13"/>
        <v>0</v>
      </c>
      <c r="CH189" s="65"/>
      <c r="CI189" s="115">
        <f t="shared" si="14"/>
        <v>0</v>
      </c>
    </row>
    <row r="190" spans="1:87" ht="15" customHeight="1">
      <c r="A190" s="20">
        <v>168</v>
      </c>
      <c r="B190" s="88"/>
      <c r="C190" s="82"/>
      <c r="D190" s="83"/>
      <c r="E190" s="33"/>
      <c r="F190" s="21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3"/>
      <c r="Y190" s="23"/>
      <c r="Z190" s="23"/>
      <c r="AA190" s="23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40">
        <f t="shared" si="10"/>
        <v>0</v>
      </c>
      <c r="AO190" s="25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  <c r="BS190" s="26"/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63">
        <f t="shared" si="11"/>
        <v>0</v>
      </c>
      <c r="CF190" s="63">
        <f t="shared" si="12"/>
        <v>0</v>
      </c>
      <c r="CG190" s="64">
        <f t="shared" si="13"/>
        <v>0</v>
      </c>
      <c r="CH190" s="65"/>
      <c r="CI190" s="115">
        <f t="shared" si="14"/>
        <v>0</v>
      </c>
    </row>
    <row r="191" spans="1:87" ht="15.75" customHeight="1">
      <c r="A191" s="20">
        <v>169</v>
      </c>
      <c r="B191" s="88"/>
      <c r="C191" s="82"/>
      <c r="D191" s="83"/>
      <c r="E191" s="33"/>
      <c r="F191" s="21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3"/>
      <c r="Y191" s="23"/>
      <c r="Z191" s="23"/>
      <c r="AA191" s="23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40">
        <f t="shared" si="10"/>
        <v>0</v>
      </c>
      <c r="AO191" s="25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63">
        <f t="shared" si="11"/>
        <v>0</v>
      </c>
      <c r="CF191" s="63">
        <f t="shared" si="12"/>
        <v>0</v>
      </c>
      <c r="CG191" s="64">
        <f t="shared" si="13"/>
        <v>0</v>
      </c>
      <c r="CH191" s="65"/>
      <c r="CI191" s="115">
        <f t="shared" si="14"/>
        <v>0</v>
      </c>
    </row>
    <row r="192" spans="1:87" ht="15" customHeight="1">
      <c r="A192" s="20">
        <v>170</v>
      </c>
      <c r="B192" s="88"/>
      <c r="C192" s="82"/>
      <c r="D192" s="83"/>
      <c r="E192" s="33"/>
      <c r="F192" s="21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3"/>
      <c r="Y192" s="23"/>
      <c r="Z192" s="23"/>
      <c r="AA192" s="23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40">
        <f t="shared" si="10"/>
        <v>0</v>
      </c>
      <c r="AO192" s="25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63">
        <f t="shared" si="11"/>
        <v>0</v>
      </c>
      <c r="CF192" s="63">
        <f t="shared" si="12"/>
        <v>0</v>
      </c>
      <c r="CG192" s="64">
        <f t="shared" si="13"/>
        <v>0</v>
      </c>
      <c r="CH192" s="65"/>
      <c r="CI192" s="115">
        <f t="shared" si="14"/>
        <v>0</v>
      </c>
    </row>
    <row r="193" spans="1:87" ht="15" customHeight="1">
      <c r="A193" s="20">
        <v>171</v>
      </c>
      <c r="B193" s="88"/>
      <c r="C193" s="82"/>
      <c r="D193" s="83"/>
      <c r="E193" s="33"/>
      <c r="F193" s="21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3"/>
      <c r="Y193" s="23"/>
      <c r="Z193" s="23"/>
      <c r="AA193" s="23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40">
        <f t="shared" si="10"/>
        <v>0</v>
      </c>
      <c r="AO193" s="25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63">
        <f t="shared" si="11"/>
        <v>0</v>
      </c>
      <c r="CF193" s="63">
        <f t="shared" si="12"/>
        <v>0</v>
      </c>
      <c r="CG193" s="64">
        <f t="shared" si="13"/>
        <v>0</v>
      </c>
      <c r="CH193" s="65"/>
      <c r="CI193" s="115">
        <f t="shared" si="14"/>
        <v>0</v>
      </c>
    </row>
    <row r="194" spans="1:87" ht="15" customHeight="1">
      <c r="A194" s="20">
        <v>172</v>
      </c>
      <c r="B194" s="88"/>
      <c r="C194" s="82"/>
      <c r="D194" s="83"/>
      <c r="E194" s="33"/>
      <c r="F194" s="21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3"/>
      <c r="Y194" s="23"/>
      <c r="Z194" s="23"/>
      <c r="AA194" s="23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40">
        <f t="shared" si="10"/>
        <v>0</v>
      </c>
      <c r="AO194" s="25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63">
        <f t="shared" si="11"/>
        <v>0</v>
      </c>
      <c r="CF194" s="63">
        <f t="shared" si="12"/>
        <v>0</v>
      </c>
      <c r="CG194" s="64">
        <f t="shared" si="13"/>
        <v>0</v>
      </c>
      <c r="CH194" s="65"/>
      <c r="CI194" s="115">
        <f t="shared" si="14"/>
        <v>0</v>
      </c>
    </row>
    <row r="195" spans="1:87" ht="15" customHeight="1">
      <c r="A195" s="20">
        <v>173</v>
      </c>
      <c r="B195" s="88"/>
      <c r="C195" s="82"/>
      <c r="D195" s="83"/>
      <c r="E195" s="33"/>
      <c r="F195" s="21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3"/>
      <c r="Y195" s="23"/>
      <c r="Z195" s="23"/>
      <c r="AA195" s="23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40">
        <f t="shared" si="10"/>
        <v>0</v>
      </c>
      <c r="AO195" s="25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63">
        <f t="shared" si="11"/>
        <v>0</v>
      </c>
      <c r="CF195" s="63">
        <f t="shared" si="12"/>
        <v>0</v>
      </c>
      <c r="CG195" s="64">
        <f t="shared" si="13"/>
        <v>0</v>
      </c>
      <c r="CH195" s="65"/>
      <c r="CI195" s="115">
        <f t="shared" si="14"/>
        <v>0</v>
      </c>
    </row>
    <row r="196" spans="1:87" ht="15.75" customHeight="1">
      <c r="A196" s="20">
        <v>174</v>
      </c>
      <c r="B196" s="88"/>
      <c r="C196" s="82"/>
      <c r="D196" s="83"/>
      <c r="E196" s="33"/>
      <c r="F196" s="21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3"/>
      <c r="Y196" s="23"/>
      <c r="Z196" s="23"/>
      <c r="AA196" s="23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40">
        <f t="shared" si="10"/>
        <v>0</v>
      </c>
      <c r="AO196" s="25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63">
        <f t="shared" si="11"/>
        <v>0</v>
      </c>
      <c r="CF196" s="63">
        <f t="shared" si="12"/>
        <v>0</v>
      </c>
      <c r="CG196" s="64">
        <f t="shared" si="13"/>
        <v>0</v>
      </c>
      <c r="CH196" s="65"/>
      <c r="CI196" s="115">
        <f t="shared" si="14"/>
        <v>0</v>
      </c>
    </row>
    <row r="197" spans="1:87" ht="15" customHeight="1">
      <c r="A197" s="20">
        <v>175</v>
      </c>
      <c r="B197" s="88"/>
      <c r="C197" s="82"/>
      <c r="D197" s="83"/>
      <c r="E197" s="33"/>
      <c r="F197" s="21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3"/>
      <c r="Y197" s="23"/>
      <c r="Z197" s="23"/>
      <c r="AA197" s="23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40">
        <f t="shared" si="10"/>
        <v>0</v>
      </c>
      <c r="AO197" s="25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63">
        <f t="shared" si="11"/>
        <v>0</v>
      </c>
      <c r="CF197" s="63">
        <f t="shared" si="12"/>
        <v>0</v>
      </c>
      <c r="CG197" s="64">
        <f t="shared" si="13"/>
        <v>0</v>
      </c>
      <c r="CH197" s="65"/>
      <c r="CI197" s="115">
        <f t="shared" si="14"/>
        <v>0</v>
      </c>
    </row>
    <row r="198" spans="1:87" ht="15" customHeight="1">
      <c r="A198" s="20">
        <v>176</v>
      </c>
      <c r="B198" s="88"/>
      <c r="C198" s="82"/>
      <c r="D198" s="83"/>
      <c r="E198" s="33"/>
      <c r="F198" s="21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3"/>
      <c r="Y198" s="23"/>
      <c r="Z198" s="23"/>
      <c r="AA198" s="23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40">
        <f t="shared" si="10"/>
        <v>0</v>
      </c>
      <c r="AO198" s="25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63">
        <f t="shared" si="11"/>
        <v>0</v>
      </c>
      <c r="CF198" s="63">
        <f t="shared" si="12"/>
        <v>0</v>
      </c>
      <c r="CG198" s="64">
        <f t="shared" si="13"/>
        <v>0</v>
      </c>
      <c r="CH198" s="65"/>
      <c r="CI198" s="115">
        <f t="shared" si="14"/>
        <v>0</v>
      </c>
    </row>
    <row r="199" spans="1:87" ht="15" customHeight="1">
      <c r="A199" s="20">
        <v>177</v>
      </c>
      <c r="B199" s="88"/>
      <c r="C199" s="82"/>
      <c r="D199" s="83"/>
      <c r="E199" s="33"/>
      <c r="F199" s="21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3"/>
      <c r="Y199" s="23"/>
      <c r="Z199" s="23"/>
      <c r="AA199" s="23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40">
        <f t="shared" si="10"/>
        <v>0</v>
      </c>
      <c r="AO199" s="25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63">
        <f t="shared" si="11"/>
        <v>0</v>
      </c>
      <c r="CF199" s="63">
        <f t="shared" si="12"/>
        <v>0</v>
      </c>
      <c r="CG199" s="64">
        <f t="shared" si="13"/>
        <v>0</v>
      </c>
      <c r="CH199" s="65"/>
      <c r="CI199" s="115">
        <f t="shared" si="14"/>
        <v>0</v>
      </c>
    </row>
    <row r="200" spans="1:87" ht="15" customHeight="1">
      <c r="A200" s="20">
        <v>178</v>
      </c>
      <c r="B200" s="88"/>
      <c r="C200" s="82"/>
      <c r="D200" s="83"/>
      <c r="E200" s="33"/>
      <c r="F200" s="21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3"/>
      <c r="Y200" s="23"/>
      <c r="Z200" s="23"/>
      <c r="AA200" s="23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40">
        <f t="shared" si="10"/>
        <v>0</v>
      </c>
      <c r="AO200" s="25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63">
        <f t="shared" si="11"/>
        <v>0</v>
      </c>
      <c r="CF200" s="63">
        <f t="shared" si="12"/>
        <v>0</v>
      </c>
      <c r="CG200" s="64">
        <f t="shared" si="13"/>
        <v>0</v>
      </c>
      <c r="CH200" s="65"/>
      <c r="CI200" s="115">
        <f t="shared" si="14"/>
        <v>0</v>
      </c>
    </row>
    <row r="201" spans="1:87" ht="15.75" customHeight="1">
      <c r="A201" s="20">
        <v>179</v>
      </c>
      <c r="B201" s="88"/>
      <c r="C201" s="82"/>
      <c r="D201" s="83"/>
      <c r="E201" s="33"/>
      <c r="F201" s="21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3"/>
      <c r="Y201" s="23"/>
      <c r="Z201" s="23"/>
      <c r="AA201" s="23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40">
        <f t="shared" si="10"/>
        <v>0</v>
      </c>
      <c r="AO201" s="25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63">
        <f t="shared" si="11"/>
        <v>0</v>
      </c>
      <c r="CF201" s="63">
        <f t="shared" si="12"/>
        <v>0</v>
      </c>
      <c r="CG201" s="64">
        <f t="shared" si="13"/>
        <v>0</v>
      </c>
      <c r="CH201" s="65"/>
      <c r="CI201" s="115">
        <f t="shared" si="14"/>
        <v>0</v>
      </c>
    </row>
    <row r="202" spans="1:87" ht="15" customHeight="1">
      <c r="A202" s="20">
        <v>180</v>
      </c>
      <c r="B202" s="88"/>
      <c r="C202" s="82"/>
      <c r="D202" s="83"/>
      <c r="E202" s="33"/>
      <c r="F202" s="21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3"/>
      <c r="Y202" s="23"/>
      <c r="Z202" s="23"/>
      <c r="AA202" s="23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40">
        <f t="shared" si="10"/>
        <v>0</v>
      </c>
      <c r="AO202" s="25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63">
        <f t="shared" si="11"/>
        <v>0</v>
      </c>
      <c r="CF202" s="63">
        <f t="shared" si="12"/>
        <v>0</v>
      </c>
      <c r="CG202" s="64">
        <f t="shared" si="13"/>
        <v>0</v>
      </c>
      <c r="CH202" s="65"/>
      <c r="CI202" s="115">
        <f t="shared" si="14"/>
        <v>0</v>
      </c>
    </row>
    <row r="203" spans="1:87" ht="15" customHeight="1">
      <c r="A203" s="20">
        <v>181</v>
      </c>
      <c r="B203" s="88"/>
      <c r="C203" s="82"/>
      <c r="D203" s="83"/>
      <c r="E203" s="33"/>
      <c r="F203" s="21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3"/>
      <c r="Y203" s="23"/>
      <c r="Z203" s="23"/>
      <c r="AA203" s="23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40">
        <f t="shared" si="10"/>
        <v>0</v>
      </c>
      <c r="AO203" s="25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63">
        <f t="shared" si="11"/>
        <v>0</v>
      </c>
      <c r="CF203" s="63">
        <f t="shared" si="12"/>
        <v>0</v>
      </c>
      <c r="CG203" s="64">
        <f t="shared" si="13"/>
        <v>0</v>
      </c>
      <c r="CH203" s="65"/>
      <c r="CI203" s="115">
        <f t="shared" si="14"/>
        <v>0</v>
      </c>
    </row>
    <row r="204" spans="1:87" ht="15" customHeight="1">
      <c r="A204" s="20">
        <v>182</v>
      </c>
      <c r="B204" s="88"/>
      <c r="C204" s="82"/>
      <c r="D204" s="83"/>
      <c r="E204" s="33"/>
      <c r="F204" s="21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3"/>
      <c r="Y204" s="23"/>
      <c r="Z204" s="23"/>
      <c r="AA204" s="23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40">
        <f t="shared" si="10"/>
        <v>0</v>
      </c>
      <c r="AO204" s="25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63">
        <f t="shared" si="11"/>
        <v>0</v>
      </c>
      <c r="CF204" s="63">
        <f t="shared" si="12"/>
        <v>0</v>
      </c>
      <c r="CG204" s="64">
        <f t="shared" si="13"/>
        <v>0</v>
      </c>
      <c r="CH204" s="65"/>
      <c r="CI204" s="115">
        <f t="shared" si="14"/>
        <v>0</v>
      </c>
    </row>
    <row r="205" spans="1:87" ht="15" customHeight="1">
      <c r="A205" s="20">
        <v>183</v>
      </c>
      <c r="B205" s="88"/>
      <c r="C205" s="82"/>
      <c r="D205" s="83"/>
      <c r="E205" s="33"/>
      <c r="F205" s="21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3"/>
      <c r="Y205" s="23"/>
      <c r="Z205" s="23"/>
      <c r="AA205" s="23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40">
        <f t="shared" si="10"/>
        <v>0</v>
      </c>
      <c r="AO205" s="25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63">
        <f t="shared" si="11"/>
        <v>0</v>
      </c>
      <c r="CF205" s="63">
        <f t="shared" si="12"/>
        <v>0</v>
      </c>
      <c r="CG205" s="64">
        <f t="shared" si="13"/>
        <v>0</v>
      </c>
      <c r="CH205" s="65"/>
      <c r="CI205" s="115">
        <f t="shared" si="14"/>
        <v>0</v>
      </c>
    </row>
    <row r="206" spans="1:87" ht="15.75" customHeight="1">
      <c r="A206" s="20">
        <v>184</v>
      </c>
      <c r="B206" s="88"/>
      <c r="C206" s="82"/>
      <c r="D206" s="83"/>
      <c r="E206" s="33"/>
      <c r="F206" s="21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3"/>
      <c r="Y206" s="23"/>
      <c r="Z206" s="23"/>
      <c r="AA206" s="23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40">
        <f t="shared" si="10"/>
        <v>0</v>
      </c>
      <c r="AO206" s="25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63">
        <f t="shared" si="11"/>
        <v>0</v>
      </c>
      <c r="CF206" s="63">
        <f t="shared" si="12"/>
        <v>0</v>
      </c>
      <c r="CG206" s="64">
        <f t="shared" si="13"/>
        <v>0</v>
      </c>
      <c r="CH206" s="65"/>
      <c r="CI206" s="115">
        <f t="shared" si="14"/>
        <v>0</v>
      </c>
    </row>
    <row r="207" spans="1:87" ht="15" customHeight="1">
      <c r="A207" s="20">
        <v>185</v>
      </c>
      <c r="B207" s="88"/>
      <c r="C207" s="82"/>
      <c r="D207" s="83"/>
      <c r="E207" s="33"/>
      <c r="F207" s="21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3"/>
      <c r="Y207" s="23"/>
      <c r="Z207" s="23"/>
      <c r="AA207" s="23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40">
        <f t="shared" si="10"/>
        <v>0</v>
      </c>
      <c r="AO207" s="25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63">
        <f t="shared" si="11"/>
        <v>0</v>
      </c>
      <c r="CF207" s="63">
        <f t="shared" si="12"/>
        <v>0</v>
      </c>
      <c r="CG207" s="64">
        <f t="shared" si="13"/>
        <v>0</v>
      </c>
      <c r="CH207" s="65"/>
      <c r="CI207" s="115">
        <f t="shared" si="14"/>
        <v>0</v>
      </c>
    </row>
    <row r="208" spans="1:87" ht="15" customHeight="1">
      <c r="A208" s="20">
        <v>186</v>
      </c>
      <c r="B208" s="88"/>
      <c r="C208" s="82"/>
      <c r="D208" s="83"/>
      <c r="E208" s="33"/>
      <c r="F208" s="21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3"/>
      <c r="Y208" s="23"/>
      <c r="Z208" s="23"/>
      <c r="AA208" s="23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40">
        <f t="shared" si="10"/>
        <v>0</v>
      </c>
      <c r="AO208" s="25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63">
        <f t="shared" si="11"/>
        <v>0</v>
      </c>
      <c r="CF208" s="63">
        <f t="shared" si="12"/>
        <v>0</v>
      </c>
      <c r="CG208" s="64">
        <f t="shared" si="13"/>
        <v>0</v>
      </c>
      <c r="CH208" s="65"/>
      <c r="CI208" s="115">
        <f t="shared" si="14"/>
        <v>0</v>
      </c>
    </row>
    <row r="209" spans="1:87" ht="15" customHeight="1">
      <c r="A209" s="20">
        <v>187</v>
      </c>
      <c r="B209" s="88"/>
      <c r="C209" s="82"/>
      <c r="D209" s="83"/>
      <c r="E209" s="33"/>
      <c r="F209" s="21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3"/>
      <c r="Y209" s="23"/>
      <c r="Z209" s="23"/>
      <c r="AA209" s="23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40">
        <f t="shared" si="10"/>
        <v>0</v>
      </c>
      <c r="AO209" s="25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  <c r="BR209" s="26"/>
      <c r="BS209" s="26"/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63">
        <f t="shared" si="11"/>
        <v>0</v>
      </c>
      <c r="CF209" s="63">
        <f t="shared" si="12"/>
        <v>0</v>
      </c>
      <c r="CG209" s="64">
        <f t="shared" si="13"/>
        <v>0</v>
      </c>
      <c r="CH209" s="65"/>
      <c r="CI209" s="115">
        <f t="shared" si="14"/>
        <v>0</v>
      </c>
    </row>
    <row r="210" spans="1:87" ht="15" customHeight="1">
      <c r="A210" s="20">
        <v>188</v>
      </c>
      <c r="B210" s="88"/>
      <c r="C210" s="82"/>
      <c r="D210" s="83"/>
      <c r="E210" s="33"/>
      <c r="F210" s="21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3"/>
      <c r="Y210" s="23"/>
      <c r="Z210" s="23"/>
      <c r="AA210" s="23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40">
        <f t="shared" si="10"/>
        <v>0</v>
      </c>
      <c r="AO210" s="25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63">
        <f t="shared" si="11"/>
        <v>0</v>
      </c>
      <c r="CF210" s="63">
        <f t="shared" si="12"/>
        <v>0</v>
      </c>
      <c r="CG210" s="64">
        <f t="shared" si="13"/>
        <v>0</v>
      </c>
      <c r="CH210" s="65"/>
      <c r="CI210" s="115">
        <f t="shared" si="14"/>
        <v>0</v>
      </c>
    </row>
    <row r="211" spans="1:87" ht="15.75" customHeight="1">
      <c r="A211" s="20">
        <v>189</v>
      </c>
      <c r="B211" s="88"/>
      <c r="C211" s="82"/>
      <c r="D211" s="83"/>
      <c r="E211" s="33"/>
      <c r="F211" s="21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3"/>
      <c r="Y211" s="23"/>
      <c r="Z211" s="23"/>
      <c r="AA211" s="23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40">
        <f t="shared" si="10"/>
        <v>0</v>
      </c>
      <c r="AO211" s="25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63">
        <f t="shared" si="11"/>
        <v>0</v>
      </c>
      <c r="CF211" s="63">
        <f t="shared" si="12"/>
        <v>0</v>
      </c>
      <c r="CG211" s="64">
        <f t="shared" si="13"/>
        <v>0</v>
      </c>
      <c r="CH211" s="65"/>
      <c r="CI211" s="115">
        <f t="shared" si="14"/>
        <v>0</v>
      </c>
    </row>
    <row r="212" spans="1:87" ht="15" customHeight="1">
      <c r="A212" s="20">
        <v>190</v>
      </c>
      <c r="B212" s="88"/>
      <c r="C212" s="82"/>
      <c r="D212" s="83"/>
      <c r="E212" s="33"/>
      <c r="F212" s="21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3"/>
      <c r="Y212" s="23"/>
      <c r="Z212" s="23"/>
      <c r="AA212" s="23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40">
        <f t="shared" si="10"/>
        <v>0</v>
      </c>
      <c r="AO212" s="25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  <c r="BS212" s="26"/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63">
        <f t="shared" si="11"/>
        <v>0</v>
      </c>
      <c r="CF212" s="63">
        <f t="shared" si="12"/>
        <v>0</v>
      </c>
      <c r="CG212" s="64">
        <f t="shared" si="13"/>
        <v>0</v>
      </c>
      <c r="CH212" s="65"/>
      <c r="CI212" s="115">
        <f t="shared" si="14"/>
        <v>0</v>
      </c>
    </row>
    <row r="213" spans="1:87" ht="15" customHeight="1">
      <c r="A213" s="20">
        <v>191</v>
      </c>
      <c r="B213" s="88"/>
      <c r="C213" s="82"/>
      <c r="D213" s="83"/>
      <c r="E213" s="33"/>
      <c r="F213" s="21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3"/>
      <c r="Y213" s="23"/>
      <c r="Z213" s="23"/>
      <c r="AA213" s="23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40">
        <f t="shared" si="10"/>
        <v>0</v>
      </c>
      <c r="AO213" s="25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  <c r="BR213" s="26"/>
      <c r="BS213" s="26"/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63">
        <f t="shared" si="11"/>
        <v>0</v>
      </c>
      <c r="CF213" s="63">
        <f t="shared" si="12"/>
        <v>0</v>
      </c>
      <c r="CG213" s="64">
        <f t="shared" si="13"/>
        <v>0</v>
      </c>
      <c r="CH213" s="65"/>
      <c r="CI213" s="115">
        <f t="shared" si="14"/>
        <v>0</v>
      </c>
    </row>
    <row r="214" spans="1:87" ht="15" customHeight="1">
      <c r="A214" s="20">
        <v>192</v>
      </c>
      <c r="B214" s="88"/>
      <c r="C214" s="82"/>
      <c r="D214" s="83"/>
      <c r="E214" s="33"/>
      <c r="F214" s="21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3"/>
      <c r="Y214" s="23"/>
      <c r="Z214" s="23"/>
      <c r="AA214" s="23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40">
        <f t="shared" si="10"/>
        <v>0</v>
      </c>
      <c r="AO214" s="25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63">
        <f t="shared" si="11"/>
        <v>0</v>
      </c>
      <c r="CF214" s="63">
        <f t="shared" si="12"/>
        <v>0</v>
      </c>
      <c r="CG214" s="64">
        <f t="shared" si="13"/>
        <v>0</v>
      </c>
      <c r="CH214" s="65"/>
      <c r="CI214" s="115">
        <f t="shared" si="14"/>
        <v>0</v>
      </c>
    </row>
    <row r="215" spans="1:87" ht="15" customHeight="1">
      <c r="A215" s="20">
        <v>193</v>
      </c>
      <c r="B215" s="88"/>
      <c r="C215" s="82"/>
      <c r="D215" s="83"/>
      <c r="E215" s="33"/>
      <c r="F215" s="21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3"/>
      <c r="Y215" s="23"/>
      <c r="Z215" s="23"/>
      <c r="AA215" s="23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40">
        <f t="shared" si="10"/>
        <v>0</v>
      </c>
      <c r="AO215" s="25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63">
        <f t="shared" si="11"/>
        <v>0</v>
      </c>
      <c r="CF215" s="63">
        <f t="shared" si="12"/>
        <v>0</v>
      </c>
      <c r="CG215" s="64">
        <f t="shared" si="13"/>
        <v>0</v>
      </c>
      <c r="CH215" s="65"/>
      <c r="CI215" s="115">
        <f t="shared" si="14"/>
        <v>0</v>
      </c>
    </row>
    <row r="216" spans="1:87" ht="15.75" customHeight="1">
      <c r="A216" s="20">
        <v>194</v>
      </c>
      <c r="B216" s="88"/>
      <c r="C216" s="82"/>
      <c r="D216" s="83"/>
      <c r="E216" s="33"/>
      <c r="F216" s="21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3"/>
      <c r="Y216" s="23"/>
      <c r="Z216" s="23"/>
      <c r="AA216" s="23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40">
        <f t="shared" ref="AN216:AN279" si="15">SUM(F216:AM216)</f>
        <v>0</v>
      </c>
      <c r="AO216" s="25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63">
        <f t="shared" ref="CE216:CE279" si="16">SUM(AO216:CD216)</f>
        <v>0</v>
      </c>
      <c r="CF216" s="63">
        <f t="shared" ref="CF216:CF279" si="17">SUM(AN216,CE216)</f>
        <v>0</v>
      </c>
      <c r="CG216" s="64">
        <f t="shared" ref="CG216:CG279" si="18">SUM(CF216/140*60)</f>
        <v>0</v>
      </c>
      <c r="CH216" s="65"/>
      <c r="CI216" s="115">
        <f t="shared" ref="CI216:CI279" si="19">SUM(CG216,CH216)</f>
        <v>0</v>
      </c>
    </row>
    <row r="217" spans="1:87" ht="15" customHeight="1">
      <c r="A217" s="20">
        <v>195</v>
      </c>
      <c r="B217" s="88"/>
      <c r="C217" s="82"/>
      <c r="D217" s="83"/>
      <c r="E217" s="33"/>
      <c r="F217" s="21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3"/>
      <c r="Y217" s="23"/>
      <c r="Z217" s="23"/>
      <c r="AA217" s="23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40">
        <f t="shared" si="15"/>
        <v>0</v>
      </c>
      <c r="AO217" s="25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  <c r="BR217" s="26"/>
      <c r="BS217" s="26"/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63">
        <f t="shared" si="16"/>
        <v>0</v>
      </c>
      <c r="CF217" s="63">
        <f t="shared" si="17"/>
        <v>0</v>
      </c>
      <c r="CG217" s="64">
        <f t="shared" si="18"/>
        <v>0</v>
      </c>
      <c r="CH217" s="65"/>
      <c r="CI217" s="115">
        <f t="shared" si="19"/>
        <v>0</v>
      </c>
    </row>
    <row r="218" spans="1:87" ht="15" customHeight="1">
      <c r="A218" s="20">
        <v>196</v>
      </c>
      <c r="B218" s="89"/>
      <c r="C218" s="75"/>
      <c r="D218" s="69"/>
      <c r="E218" s="33"/>
      <c r="F218" s="21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3"/>
      <c r="Y218" s="23"/>
      <c r="Z218" s="23"/>
      <c r="AA218" s="23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40">
        <f t="shared" si="15"/>
        <v>0</v>
      </c>
      <c r="AO218" s="25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  <c r="BS218" s="26"/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63">
        <f t="shared" si="16"/>
        <v>0</v>
      </c>
      <c r="CF218" s="63">
        <f t="shared" si="17"/>
        <v>0</v>
      </c>
      <c r="CG218" s="64">
        <f t="shared" si="18"/>
        <v>0</v>
      </c>
      <c r="CH218" s="65"/>
      <c r="CI218" s="115">
        <f t="shared" si="19"/>
        <v>0</v>
      </c>
    </row>
    <row r="219" spans="1:87" ht="15" customHeight="1">
      <c r="A219" s="20">
        <v>197</v>
      </c>
      <c r="B219" s="89"/>
      <c r="C219" s="75"/>
      <c r="D219" s="69"/>
      <c r="E219" s="33"/>
      <c r="F219" s="21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3"/>
      <c r="Y219" s="23"/>
      <c r="Z219" s="23"/>
      <c r="AA219" s="23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40">
        <f t="shared" si="15"/>
        <v>0</v>
      </c>
      <c r="AO219" s="25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  <c r="BS219" s="26"/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63">
        <f t="shared" si="16"/>
        <v>0</v>
      </c>
      <c r="CF219" s="63">
        <f t="shared" si="17"/>
        <v>0</v>
      </c>
      <c r="CG219" s="64">
        <f t="shared" si="18"/>
        <v>0</v>
      </c>
      <c r="CH219" s="65"/>
      <c r="CI219" s="115">
        <f t="shared" si="19"/>
        <v>0</v>
      </c>
    </row>
    <row r="220" spans="1:87" ht="15" customHeight="1">
      <c r="A220" s="20">
        <v>198</v>
      </c>
      <c r="B220" s="89"/>
      <c r="C220" s="75"/>
      <c r="D220" s="69"/>
      <c r="E220" s="33"/>
      <c r="F220" s="21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3"/>
      <c r="Y220" s="23"/>
      <c r="Z220" s="23"/>
      <c r="AA220" s="23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40">
        <f t="shared" si="15"/>
        <v>0</v>
      </c>
      <c r="AO220" s="25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  <c r="BS220" s="26"/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63">
        <f t="shared" si="16"/>
        <v>0</v>
      </c>
      <c r="CF220" s="63">
        <f t="shared" si="17"/>
        <v>0</v>
      </c>
      <c r="CG220" s="64">
        <f t="shared" si="18"/>
        <v>0</v>
      </c>
      <c r="CH220" s="65"/>
      <c r="CI220" s="115">
        <f t="shared" si="19"/>
        <v>0</v>
      </c>
    </row>
    <row r="221" spans="1:87" ht="15.75" customHeight="1">
      <c r="A221" s="20">
        <v>199</v>
      </c>
      <c r="B221" s="89"/>
      <c r="C221" s="75"/>
      <c r="D221" s="69"/>
      <c r="E221" s="33"/>
      <c r="F221" s="21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3"/>
      <c r="Y221" s="23"/>
      <c r="Z221" s="23"/>
      <c r="AA221" s="23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40">
        <f t="shared" si="15"/>
        <v>0</v>
      </c>
      <c r="AO221" s="25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  <c r="BS221" s="26"/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63">
        <f t="shared" si="16"/>
        <v>0</v>
      </c>
      <c r="CF221" s="63">
        <f t="shared" si="17"/>
        <v>0</v>
      </c>
      <c r="CG221" s="64">
        <f t="shared" si="18"/>
        <v>0</v>
      </c>
      <c r="CH221" s="65"/>
      <c r="CI221" s="115">
        <f t="shared" si="19"/>
        <v>0</v>
      </c>
    </row>
    <row r="222" spans="1:87" ht="15" customHeight="1">
      <c r="A222" s="20">
        <v>200</v>
      </c>
      <c r="B222" s="89"/>
      <c r="C222" s="75"/>
      <c r="D222" s="69"/>
      <c r="E222" s="33"/>
      <c r="F222" s="21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3"/>
      <c r="Y222" s="23"/>
      <c r="Z222" s="23"/>
      <c r="AA222" s="23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40">
        <f t="shared" si="15"/>
        <v>0</v>
      </c>
      <c r="AO222" s="25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  <c r="BS222" s="26"/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63">
        <f t="shared" si="16"/>
        <v>0</v>
      </c>
      <c r="CF222" s="63">
        <f t="shared" si="17"/>
        <v>0</v>
      </c>
      <c r="CG222" s="64">
        <f t="shared" si="18"/>
        <v>0</v>
      </c>
      <c r="CH222" s="65"/>
      <c r="CI222" s="115">
        <f t="shared" si="19"/>
        <v>0</v>
      </c>
    </row>
    <row r="223" spans="1:87" ht="15" customHeight="1">
      <c r="A223" s="20">
        <v>201</v>
      </c>
      <c r="B223" s="89"/>
      <c r="C223" s="75"/>
      <c r="D223" s="69"/>
      <c r="E223" s="33"/>
      <c r="F223" s="21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3"/>
      <c r="Y223" s="23"/>
      <c r="Z223" s="23"/>
      <c r="AA223" s="23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40">
        <f t="shared" si="15"/>
        <v>0</v>
      </c>
      <c r="AO223" s="25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  <c r="BR223" s="26"/>
      <c r="BS223" s="26"/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63">
        <f t="shared" si="16"/>
        <v>0</v>
      </c>
      <c r="CF223" s="63">
        <f t="shared" si="17"/>
        <v>0</v>
      </c>
      <c r="CG223" s="64">
        <f t="shared" si="18"/>
        <v>0</v>
      </c>
      <c r="CH223" s="65"/>
      <c r="CI223" s="115">
        <f t="shared" si="19"/>
        <v>0</v>
      </c>
    </row>
    <row r="224" spans="1:87" ht="15" customHeight="1">
      <c r="A224" s="20">
        <v>202</v>
      </c>
      <c r="B224" s="89"/>
      <c r="C224" s="75"/>
      <c r="D224" s="69"/>
      <c r="E224" s="33"/>
      <c r="F224" s="21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3"/>
      <c r="Y224" s="23"/>
      <c r="Z224" s="23"/>
      <c r="AA224" s="23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40">
        <f t="shared" si="15"/>
        <v>0</v>
      </c>
      <c r="AO224" s="25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  <c r="BS224" s="26"/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63">
        <f t="shared" si="16"/>
        <v>0</v>
      </c>
      <c r="CF224" s="63">
        <f t="shared" si="17"/>
        <v>0</v>
      </c>
      <c r="CG224" s="64">
        <f t="shared" si="18"/>
        <v>0</v>
      </c>
      <c r="CH224" s="65"/>
      <c r="CI224" s="115">
        <f t="shared" si="19"/>
        <v>0</v>
      </c>
    </row>
    <row r="225" spans="1:87" ht="15" customHeight="1">
      <c r="A225" s="20">
        <v>203</v>
      </c>
      <c r="B225" s="89"/>
      <c r="C225" s="75"/>
      <c r="D225" s="69"/>
      <c r="E225" s="33"/>
      <c r="F225" s="21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3"/>
      <c r="Y225" s="23"/>
      <c r="Z225" s="23"/>
      <c r="AA225" s="23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40">
        <f t="shared" si="15"/>
        <v>0</v>
      </c>
      <c r="AO225" s="25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  <c r="BR225" s="26"/>
      <c r="BS225" s="26"/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63">
        <f t="shared" si="16"/>
        <v>0</v>
      </c>
      <c r="CF225" s="63">
        <f t="shared" si="17"/>
        <v>0</v>
      </c>
      <c r="CG225" s="64">
        <f t="shared" si="18"/>
        <v>0</v>
      </c>
      <c r="CH225" s="65"/>
      <c r="CI225" s="115">
        <f t="shared" si="19"/>
        <v>0</v>
      </c>
    </row>
    <row r="226" spans="1:87" ht="15.75" customHeight="1">
      <c r="A226" s="20">
        <v>204</v>
      </c>
      <c r="B226" s="89"/>
      <c r="C226" s="75"/>
      <c r="D226" s="69"/>
      <c r="E226" s="33"/>
      <c r="F226" s="21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3"/>
      <c r="Y226" s="23"/>
      <c r="Z226" s="23"/>
      <c r="AA226" s="23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40">
        <f t="shared" si="15"/>
        <v>0</v>
      </c>
      <c r="AO226" s="25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63">
        <f t="shared" si="16"/>
        <v>0</v>
      </c>
      <c r="CF226" s="63">
        <f t="shared" si="17"/>
        <v>0</v>
      </c>
      <c r="CG226" s="64">
        <f t="shared" si="18"/>
        <v>0</v>
      </c>
      <c r="CH226" s="65"/>
      <c r="CI226" s="115">
        <f t="shared" si="19"/>
        <v>0</v>
      </c>
    </row>
    <row r="227" spans="1:87" ht="15" customHeight="1">
      <c r="A227" s="20">
        <v>205</v>
      </c>
      <c r="B227" s="89"/>
      <c r="C227" s="75"/>
      <c r="D227" s="69"/>
      <c r="E227" s="33"/>
      <c r="F227" s="21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3"/>
      <c r="Y227" s="23"/>
      <c r="Z227" s="23"/>
      <c r="AA227" s="23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40">
        <f t="shared" si="15"/>
        <v>0</v>
      </c>
      <c r="AO227" s="25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  <c r="BR227" s="26"/>
      <c r="BS227" s="26"/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63">
        <f t="shared" si="16"/>
        <v>0</v>
      </c>
      <c r="CF227" s="63">
        <f t="shared" si="17"/>
        <v>0</v>
      </c>
      <c r="CG227" s="64">
        <f t="shared" si="18"/>
        <v>0</v>
      </c>
      <c r="CH227" s="65"/>
      <c r="CI227" s="115">
        <f t="shared" si="19"/>
        <v>0</v>
      </c>
    </row>
    <row r="228" spans="1:87" ht="15" customHeight="1">
      <c r="A228" s="20">
        <v>206</v>
      </c>
      <c r="B228" s="89"/>
      <c r="C228" s="75"/>
      <c r="D228" s="69"/>
      <c r="E228" s="33"/>
      <c r="F228" s="21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3"/>
      <c r="Y228" s="23"/>
      <c r="Z228" s="23"/>
      <c r="AA228" s="23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40">
        <f t="shared" si="15"/>
        <v>0</v>
      </c>
      <c r="AO228" s="25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  <c r="BS228" s="26"/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63">
        <f t="shared" si="16"/>
        <v>0</v>
      </c>
      <c r="CF228" s="63">
        <f t="shared" si="17"/>
        <v>0</v>
      </c>
      <c r="CG228" s="64">
        <f t="shared" si="18"/>
        <v>0</v>
      </c>
      <c r="CH228" s="65"/>
      <c r="CI228" s="115">
        <f t="shared" si="19"/>
        <v>0</v>
      </c>
    </row>
    <row r="229" spans="1:87" ht="15" customHeight="1">
      <c r="A229" s="20">
        <v>207</v>
      </c>
      <c r="B229" s="89"/>
      <c r="C229" s="75"/>
      <c r="D229" s="69"/>
      <c r="E229" s="33"/>
      <c r="F229" s="21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3"/>
      <c r="Y229" s="23"/>
      <c r="Z229" s="23"/>
      <c r="AA229" s="23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40">
        <f t="shared" si="15"/>
        <v>0</v>
      </c>
      <c r="AO229" s="25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63">
        <f t="shared" si="16"/>
        <v>0</v>
      </c>
      <c r="CF229" s="63">
        <f t="shared" si="17"/>
        <v>0</v>
      </c>
      <c r="CG229" s="64">
        <f t="shared" si="18"/>
        <v>0</v>
      </c>
      <c r="CH229" s="65"/>
      <c r="CI229" s="115">
        <f t="shared" si="19"/>
        <v>0</v>
      </c>
    </row>
    <row r="230" spans="1:87" ht="15" customHeight="1">
      <c r="A230" s="20">
        <v>208</v>
      </c>
      <c r="B230" s="89"/>
      <c r="C230" s="75"/>
      <c r="D230" s="69"/>
      <c r="E230" s="33"/>
      <c r="F230" s="21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3"/>
      <c r="Y230" s="23"/>
      <c r="Z230" s="23"/>
      <c r="AA230" s="23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40">
        <f t="shared" si="15"/>
        <v>0</v>
      </c>
      <c r="AO230" s="25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  <c r="BR230" s="26"/>
      <c r="BS230" s="26"/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63">
        <f t="shared" si="16"/>
        <v>0</v>
      </c>
      <c r="CF230" s="63">
        <f t="shared" si="17"/>
        <v>0</v>
      </c>
      <c r="CG230" s="64">
        <f t="shared" si="18"/>
        <v>0</v>
      </c>
      <c r="CH230" s="65"/>
      <c r="CI230" s="115">
        <f t="shared" si="19"/>
        <v>0</v>
      </c>
    </row>
    <row r="231" spans="1:87" ht="15.75" customHeight="1">
      <c r="A231" s="20">
        <v>209</v>
      </c>
      <c r="B231" s="89"/>
      <c r="C231" s="75"/>
      <c r="D231" s="69"/>
      <c r="E231" s="33"/>
      <c r="F231" s="21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3"/>
      <c r="Y231" s="23"/>
      <c r="Z231" s="23"/>
      <c r="AA231" s="23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40">
        <f t="shared" si="15"/>
        <v>0</v>
      </c>
      <c r="AO231" s="25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26"/>
      <c r="BQ231" s="26"/>
      <c r="BR231" s="26"/>
      <c r="BS231" s="26"/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63">
        <f t="shared" si="16"/>
        <v>0</v>
      </c>
      <c r="CF231" s="63">
        <f t="shared" si="17"/>
        <v>0</v>
      </c>
      <c r="CG231" s="64">
        <f t="shared" si="18"/>
        <v>0</v>
      </c>
      <c r="CH231" s="65"/>
      <c r="CI231" s="115">
        <f t="shared" si="19"/>
        <v>0</v>
      </c>
    </row>
    <row r="232" spans="1:87" ht="15" customHeight="1">
      <c r="A232" s="20">
        <v>210</v>
      </c>
      <c r="B232" s="89"/>
      <c r="C232" s="75"/>
      <c r="D232" s="69"/>
      <c r="E232" s="33"/>
      <c r="F232" s="21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3"/>
      <c r="Y232" s="23"/>
      <c r="Z232" s="23"/>
      <c r="AA232" s="23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40">
        <f t="shared" si="15"/>
        <v>0</v>
      </c>
      <c r="AO232" s="25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  <c r="BS232" s="26"/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63">
        <f t="shared" si="16"/>
        <v>0</v>
      </c>
      <c r="CF232" s="63">
        <f t="shared" si="17"/>
        <v>0</v>
      </c>
      <c r="CG232" s="64">
        <f t="shared" si="18"/>
        <v>0</v>
      </c>
      <c r="CH232" s="65"/>
      <c r="CI232" s="115">
        <f t="shared" si="19"/>
        <v>0</v>
      </c>
    </row>
    <row r="233" spans="1:87" ht="15" customHeight="1">
      <c r="A233" s="20">
        <v>211</v>
      </c>
      <c r="B233" s="89"/>
      <c r="C233" s="75"/>
      <c r="D233" s="69"/>
      <c r="E233" s="33"/>
      <c r="F233" s="21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3"/>
      <c r="Y233" s="23"/>
      <c r="Z233" s="23"/>
      <c r="AA233" s="23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40">
        <f t="shared" si="15"/>
        <v>0</v>
      </c>
      <c r="AO233" s="25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  <c r="BS233" s="26"/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63">
        <f t="shared" si="16"/>
        <v>0</v>
      </c>
      <c r="CF233" s="63">
        <f t="shared" si="17"/>
        <v>0</v>
      </c>
      <c r="CG233" s="64">
        <f t="shared" si="18"/>
        <v>0</v>
      </c>
      <c r="CH233" s="65"/>
      <c r="CI233" s="115">
        <f t="shared" si="19"/>
        <v>0</v>
      </c>
    </row>
    <row r="234" spans="1:87" ht="15" customHeight="1">
      <c r="A234" s="20">
        <v>212</v>
      </c>
      <c r="B234" s="89"/>
      <c r="C234" s="75"/>
      <c r="D234" s="69"/>
      <c r="E234" s="33"/>
      <c r="F234" s="21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3"/>
      <c r="Y234" s="23"/>
      <c r="Z234" s="23"/>
      <c r="AA234" s="23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40">
        <f t="shared" si="15"/>
        <v>0</v>
      </c>
      <c r="AO234" s="25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63">
        <f t="shared" si="16"/>
        <v>0</v>
      </c>
      <c r="CF234" s="63">
        <f t="shared" si="17"/>
        <v>0</v>
      </c>
      <c r="CG234" s="64">
        <f t="shared" si="18"/>
        <v>0</v>
      </c>
      <c r="CH234" s="65"/>
      <c r="CI234" s="115">
        <f t="shared" si="19"/>
        <v>0</v>
      </c>
    </row>
    <row r="235" spans="1:87" ht="15" customHeight="1">
      <c r="A235" s="20">
        <v>213</v>
      </c>
      <c r="B235" s="89"/>
      <c r="C235" s="75"/>
      <c r="D235" s="69"/>
      <c r="E235" s="33"/>
      <c r="F235" s="21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3"/>
      <c r="Y235" s="23"/>
      <c r="Z235" s="23"/>
      <c r="AA235" s="23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40">
        <f t="shared" si="15"/>
        <v>0</v>
      </c>
      <c r="AO235" s="25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63">
        <f t="shared" si="16"/>
        <v>0</v>
      </c>
      <c r="CF235" s="63">
        <f t="shared" si="17"/>
        <v>0</v>
      </c>
      <c r="CG235" s="64">
        <f t="shared" si="18"/>
        <v>0</v>
      </c>
      <c r="CH235" s="65"/>
      <c r="CI235" s="115">
        <f t="shared" si="19"/>
        <v>0</v>
      </c>
    </row>
    <row r="236" spans="1:87" ht="15.75" customHeight="1">
      <c r="A236" s="20">
        <v>214</v>
      </c>
      <c r="B236" s="89"/>
      <c r="C236" s="75"/>
      <c r="D236" s="69"/>
      <c r="E236" s="33"/>
      <c r="F236" s="21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3"/>
      <c r="Y236" s="23"/>
      <c r="Z236" s="23"/>
      <c r="AA236" s="23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40">
        <f t="shared" si="15"/>
        <v>0</v>
      </c>
      <c r="AO236" s="25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  <c r="BS236" s="26"/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63">
        <f t="shared" si="16"/>
        <v>0</v>
      </c>
      <c r="CF236" s="63">
        <f t="shared" si="17"/>
        <v>0</v>
      </c>
      <c r="CG236" s="64">
        <f t="shared" si="18"/>
        <v>0</v>
      </c>
      <c r="CH236" s="65"/>
      <c r="CI236" s="115">
        <f t="shared" si="19"/>
        <v>0</v>
      </c>
    </row>
    <row r="237" spans="1:87" ht="15" customHeight="1">
      <c r="A237" s="20">
        <v>215</v>
      </c>
      <c r="B237" s="89"/>
      <c r="C237" s="75"/>
      <c r="D237" s="69"/>
      <c r="E237" s="33"/>
      <c r="F237" s="21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3"/>
      <c r="Y237" s="23"/>
      <c r="Z237" s="23"/>
      <c r="AA237" s="23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40">
        <f t="shared" si="15"/>
        <v>0</v>
      </c>
      <c r="AO237" s="25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63">
        <f t="shared" si="16"/>
        <v>0</v>
      </c>
      <c r="CF237" s="63">
        <f t="shared" si="17"/>
        <v>0</v>
      </c>
      <c r="CG237" s="64">
        <f t="shared" si="18"/>
        <v>0</v>
      </c>
      <c r="CH237" s="65"/>
      <c r="CI237" s="115">
        <f t="shared" si="19"/>
        <v>0</v>
      </c>
    </row>
    <row r="238" spans="1:87" ht="15" customHeight="1">
      <c r="A238" s="20">
        <v>216</v>
      </c>
      <c r="B238" s="89"/>
      <c r="C238" s="75"/>
      <c r="D238" s="69"/>
      <c r="E238" s="33"/>
      <c r="F238" s="21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3"/>
      <c r="Y238" s="23"/>
      <c r="Z238" s="23"/>
      <c r="AA238" s="23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40">
        <f t="shared" si="15"/>
        <v>0</v>
      </c>
      <c r="AO238" s="25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  <c r="BS238" s="26"/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63">
        <f t="shared" si="16"/>
        <v>0</v>
      </c>
      <c r="CF238" s="63">
        <f t="shared" si="17"/>
        <v>0</v>
      </c>
      <c r="CG238" s="64">
        <f t="shared" si="18"/>
        <v>0</v>
      </c>
      <c r="CH238" s="65"/>
      <c r="CI238" s="115">
        <f t="shared" si="19"/>
        <v>0</v>
      </c>
    </row>
    <row r="239" spans="1:87" ht="15" customHeight="1">
      <c r="A239" s="20">
        <v>217</v>
      </c>
      <c r="B239" s="89"/>
      <c r="C239" s="75"/>
      <c r="D239" s="69"/>
      <c r="E239" s="33"/>
      <c r="F239" s="21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3"/>
      <c r="Y239" s="23"/>
      <c r="Z239" s="23"/>
      <c r="AA239" s="23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40">
        <f t="shared" si="15"/>
        <v>0</v>
      </c>
      <c r="AO239" s="25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63">
        <f t="shared" si="16"/>
        <v>0</v>
      </c>
      <c r="CF239" s="63">
        <f t="shared" si="17"/>
        <v>0</v>
      </c>
      <c r="CG239" s="64">
        <f t="shared" si="18"/>
        <v>0</v>
      </c>
      <c r="CH239" s="65"/>
      <c r="CI239" s="115">
        <f t="shared" si="19"/>
        <v>0</v>
      </c>
    </row>
    <row r="240" spans="1:87" ht="15" customHeight="1">
      <c r="A240" s="20">
        <v>218</v>
      </c>
      <c r="B240" s="89"/>
      <c r="C240" s="75"/>
      <c r="D240" s="69"/>
      <c r="E240" s="33"/>
      <c r="F240" s="21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3"/>
      <c r="Y240" s="23"/>
      <c r="Z240" s="23"/>
      <c r="AA240" s="23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40">
        <f t="shared" si="15"/>
        <v>0</v>
      </c>
      <c r="AO240" s="25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63">
        <f t="shared" si="16"/>
        <v>0</v>
      </c>
      <c r="CF240" s="63">
        <f t="shared" si="17"/>
        <v>0</v>
      </c>
      <c r="CG240" s="64">
        <f t="shared" si="18"/>
        <v>0</v>
      </c>
      <c r="CH240" s="65"/>
      <c r="CI240" s="115">
        <f t="shared" si="19"/>
        <v>0</v>
      </c>
    </row>
    <row r="241" spans="1:87" ht="15.75" customHeight="1">
      <c r="A241" s="20">
        <v>219</v>
      </c>
      <c r="B241" s="89"/>
      <c r="C241" s="75"/>
      <c r="D241" s="69"/>
      <c r="E241" s="33"/>
      <c r="F241" s="21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3"/>
      <c r="Y241" s="23"/>
      <c r="Z241" s="23"/>
      <c r="AA241" s="23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40">
        <f t="shared" si="15"/>
        <v>0</v>
      </c>
      <c r="AO241" s="25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63">
        <f t="shared" si="16"/>
        <v>0</v>
      </c>
      <c r="CF241" s="63">
        <f t="shared" si="17"/>
        <v>0</v>
      </c>
      <c r="CG241" s="64">
        <f t="shared" si="18"/>
        <v>0</v>
      </c>
      <c r="CH241" s="65"/>
      <c r="CI241" s="115">
        <f t="shared" si="19"/>
        <v>0</v>
      </c>
    </row>
    <row r="242" spans="1:87" ht="15" customHeight="1">
      <c r="A242" s="20">
        <v>220</v>
      </c>
      <c r="B242" s="89"/>
      <c r="C242" s="75"/>
      <c r="D242" s="69"/>
      <c r="E242" s="33"/>
      <c r="F242" s="21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3"/>
      <c r="Y242" s="23"/>
      <c r="Z242" s="23"/>
      <c r="AA242" s="23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40">
        <f t="shared" si="15"/>
        <v>0</v>
      </c>
      <c r="AO242" s="25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  <c r="BS242" s="26"/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63">
        <f t="shared" si="16"/>
        <v>0</v>
      </c>
      <c r="CF242" s="63">
        <f t="shared" si="17"/>
        <v>0</v>
      </c>
      <c r="CG242" s="64">
        <f t="shared" si="18"/>
        <v>0</v>
      </c>
      <c r="CH242" s="65"/>
      <c r="CI242" s="115">
        <f t="shared" si="19"/>
        <v>0</v>
      </c>
    </row>
    <row r="243" spans="1:87" ht="15" customHeight="1">
      <c r="A243" s="20">
        <v>221</v>
      </c>
      <c r="B243" s="89"/>
      <c r="C243" s="75"/>
      <c r="D243" s="69"/>
      <c r="E243" s="33"/>
      <c r="F243" s="21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3"/>
      <c r="Y243" s="23"/>
      <c r="Z243" s="23"/>
      <c r="AA243" s="23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40">
        <f t="shared" si="15"/>
        <v>0</v>
      </c>
      <c r="AO243" s="25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  <c r="BR243" s="26"/>
      <c r="BS243" s="26"/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63">
        <f t="shared" si="16"/>
        <v>0</v>
      </c>
      <c r="CF243" s="63">
        <f t="shared" si="17"/>
        <v>0</v>
      </c>
      <c r="CG243" s="64">
        <f t="shared" si="18"/>
        <v>0</v>
      </c>
      <c r="CH243" s="65"/>
      <c r="CI243" s="115">
        <f t="shared" si="19"/>
        <v>0</v>
      </c>
    </row>
    <row r="244" spans="1:87" ht="15" customHeight="1">
      <c r="A244" s="20">
        <v>222</v>
      </c>
      <c r="B244" s="89"/>
      <c r="C244" s="75"/>
      <c r="D244" s="69"/>
      <c r="E244" s="33"/>
      <c r="F244" s="21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3"/>
      <c r="Y244" s="23"/>
      <c r="Z244" s="23"/>
      <c r="AA244" s="23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40">
        <f t="shared" si="15"/>
        <v>0</v>
      </c>
      <c r="AO244" s="25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  <c r="BS244" s="26"/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63">
        <f t="shared" si="16"/>
        <v>0</v>
      </c>
      <c r="CF244" s="63">
        <f t="shared" si="17"/>
        <v>0</v>
      </c>
      <c r="CG244" s="64">
        <f t="shared" si="18"/>
        <v>0</v>
      </c>
      <c r="CH244" s="65"/>
      <c r="CI244" s="115">
        <f t="shared" si="19"/>
        <v>0</v>
      </c>
    </row>
    <row r="245" spans="1:87" ht="15" customHeight="1">
      <c r="A245" s="20">
        <v>223</v>
      </c>
      <c r="B245" s="89"/>
      <c r="C245" s="75"/>
      <c r="D245" s="69"/>
      <c r="E245" s="33"/>
      <c r="F245" s="21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3"/>
      <c r="Y245" s="23"/>
      <c r="Z245" s="23"/>
      <c r="AA245" s="23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40">
        <f t="shared" si="15"/>
        <v>0</v>
      </c>
      <c r="AO245" s="25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  <c r="BS245" s="26"/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63">
        <f t="shared" si="16"/>
        <v>0</v>
      </c>
      <c r="CF245" s="63">
        <f t="shared" si="17"/>
        <v>0</v>
      </c>
      <c r="CG245" s="64">
        <f t="shared" si="18"/>
        <v>0</v>
      </c>
      <c r="CH245" s="65"/>
      <c r="CI245" s="115">
        <f t="shared" si="19"/>
        <v>0</v>
      </c>
    </row>
    <row r="246" spans="1:87" ht="15.75" customHeight="1">
      <c r="A246" s="20">
        <v>224</v>
      </c>
      <c r="B246" s="89"/>
      <c r="C246" s="75"/>
      <c r="D246" s="69"/>
      <c r="E246" s="33"/>
      <c r="F246" s="21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3"/>
      <c r="Y246" s="23"/>
      <c r="Z246" s="23"/>
      <c r="AA246" s="23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40">
        <f t="shared" si="15"/>
        <v>0</v>
      </c>
      <c r="AO246" s="25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  <c r="BS246" s="26"/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63">
        <f t="shared" si="16"/>
        <v>0</v>
      </c>
      <c r="CF246" s="63">
        <f t="shared" si="17"/>
        <v>0</v>
      </c>
      <c r="CG246" s="64">
        <f t="shared" si="18"/>
        <v>0</v>
      </c>
      <c r="CH246" s="65"/>
      <c r="CI246" s="115">
        <f t="shared" si="19"/>
        <v>0</v>
      </c>
    </row>
    <row r="247" spans="1:87" ht="15" customHeight="1">
      <c r="A247" s="20">
        <v>225</v>
      </c>
      <c r="B247" s="89"/>
      <c r="C247" s="75"/>
      <c r="D247" s="69"/>
      <c r="E247" s="33"/>
      <c r="F247" s="21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3"/>
      <c r="Y247" s="23"/>
      <c r="Z247" s="23"/>
      <c r="AA247" s="23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40">
        <f t="shared" si="15"/>
        <v>0</v>
      </c>
      <c r="AO247" s="25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  <c r="BS247" s="26"/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63">
        <f t="shared" si="16"/>
        <v>0</v>
      </c>
      <c r="CF247" s="63">
        <f t="shared" si="17"/>
        <v>0</v>
      </c>
      <c r="CG247" s="64">
        <f t="shared" si="18"/>
        <v>0</v>
      </c>
      <c r="CH247" s="65"/>
      <c r="CI247" s="115">
        <f t="shared" si="19"/>
        <v>0</v>
      </c>
    </row>
    <row r="248" spans="1:87" ht="15" customHeight="1">
      <c r="A248" s="20">
        <v>226</v>
      </c>
      <c r="B248" s="89"/>
      <c r="C248" s="75"/>
      <c r="D248" s="69"/>
      <c r="E248" s="33"/>
      <c r="F248" s="21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3"/>
      <c r="Y248" s="23"/>
      <c r="Z248" s="23"/>
      <c r="AA248" s="23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40">
        <f t="shared" si="15"/>
        <v>0</v>
      </c>
      <c r="AO248" s="25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  <c r="BS248" s="26"/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63">
        <f t="shared" si="16"/>
        <v>0</v>
      </c>
      <c r="CF248" s="63">
        <f t="shared" si="17"/>
        <v>0</v>
      </c>
      <c r="CG248" s="64">
        <f t="shared" si="18"/>
        <v>0</v>
      </c>
      <c r="CH248" s="65"/>
      <c r="CI248" s="115">
        <f t="shared" si="19"/>
        <v>0</v>
      </c>
    </row>
    <row r="249" spans="1:87" ht="15" customHeight="1">
      <c r="A249" s="20">
        <v>227</v>
      </c>
      <c r="B249" s="89"/>
      <c r="C249" s="75"/>
      <c r="D249" s="69"/>
      <c r="E249" s="33"/>
      <c r="F249" s="21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3"/>
      <c r="Y249" s="23"/>
      <c r="Z249" s="23"/>
      <c r="AA249" s="23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40">
        <f t="shared" si="15"/>
        <v>0</v>
      </c>
      <c r="AO249" s="25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26"/>
      <c r="BQ249" s="26"/>
      <c r="BR249" s="26"/>
      <c r="BS249" s="26"/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63">
        <f t="shared" si="16"/>
        <v>0</v>
      </c>
      <c r="CF249" s="63">
        <f t="shared" si="17"/>
        <v>0</v>
      </c>
      <c r="CG249" s="64">
        <f t="shared" si="18"/>
        <v>0</v>
      </c>
      <c r="CH249" s="65"/>
      <c r="CI249" s="115">
        <f t="shared" si="19"/>
        <v>0</v>
      </c>
    </row>
    <row r="250" spans="1:87" ht="15" customHeight="1">
      <c r="A250" s="20">
        <v>228</v>
      </c>
      <c r="B250" s="89"/>
      <c r="C250" s="75"/>
      <c r="D250" s="69"/>
      <c r="E250" s="33"/>
      <c r="F250" s="21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3"/>
      <c r="Y250" s="23"/>
      <c r="Z250" s="23"/>
      <c r="AA250" s="23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40">
        <f t="shared" si="15"/>
        <v>0</v>
      </c>
      <c r="AO250" s="25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  <c r="BS250" s="26"/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63">
        <f t="shared" si="16"/>
        <v>0</v>
      </c>
      <c r="CF250" s="63">
        <f t="shared" si="17"/>
        <v>0</v>
      </c>
      <c r="CG250" s="64">
        <f t="shared" si="18"/>
        <v>0</v>
      </c>
      <c r="CH250" s="65"/>
      <c r="CI250" s="115">
        <f t="shared" si="19"/>
        <v>0</v>
      </c>
    </row>
    <row r="251" spans="1:87" ht="15.75" customHeight="1">
      <c r="A251" s="20">
        <v>229</v>
      </c>
      <c r="B251" s="89"/>
      <c r="C251" s="75"/>
      <c r="D251" s="69"/>
      <c r="E251" s="33"/>
      <c r="F251" s="21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3"/>
      <c r="Y251" s="23"/>
      <c r="Z251" s="23"/>
      <c r="AA251" s="23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40">
        <f t="shared" si="15"/>
        <v>0</v>
      </c>
      <c r="AO251" s="25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  <c r="BS251" s="26"/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63">
        <f t="shared" si="16"/>
        <v>0</v>
      </c>
      <c r="CF251" s="63">
        <f t="shared" si="17"/>
        <v>0</v>
      </c>
      <c r="CG251" s="64">
        <f t="shared" si="18"/>
        <v>0</v>
      </c>
      <c r="CH251" s="65"/>
      <c r="CI251" s="115">
        <f t="shared" si="19"/>
        <v>0</v>
      </c>
    </row>
    <row r="252" spans="1:87" ht="15" customHeight="1">
      <c r="A252" s="20">
        <v>230</v>
      </c>
      <c r="B252" s="89"/>
      <c r="C252" s="75"/>
      <c r="D252" s="69"/>
      <c r="E252" s="33"/>
      <c r="F252" s="21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3"/>
      <c r="Y252" s="23"/>
      <c r="Z252" s="23"/>
      <c r="AA252" s="23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40">
        <f t="shared" si="15"/>
        <v>0</v>
      </c>
      <c r="AO252" s="25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  <c r="BS252" s="26"/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63">
        <f t="shared" si="16"/>
        <v>0</v>
      </c>
      <c r="CF252" s="63">
        <f t="shared" si="17"/>
        <v>0</v>
      </c>
      <c r="CG252" s="64">
        <f t="shared" si="18"/>
        <v>0</v>
      </c>
      <c r="CH252" s="65"/>
      <c r="CI252" s="115">
        <f t="shared" si="19"/>
        <v>0</v>
      </c>
    </row>
    <row r="253" spans="1:87" ht="15" customHeight="1">
      <c r="A253" s="20">
        <v>231</v>
      </c>
      <c r="B253" s="89"/>
      <c r="C253" s="75"/>
      <c r="D253" s="69"/>
      <c r="E253" s="33"/>
      <c r="F253" s="21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3"/>
      <c r="Y253" s="23"/>
      <c r="Z253" s="23"/>
      <c r="AA253" s="23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40">
        <f t="shared" si="15"/>
        <v>0</v>
      </c>
      <c r="AO253" s="25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26"/>
      <c r="BP253" s="26"/>
      <c r="BQ253" s="26"/>
      <c r="BR253" s="26"/>
      <c r="BS253" s="26"/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63">
        <f t="shared" si="16"/>
        <v>0</v>
      </c>
      <c r="CF253" s="63">
        <f t="shared" si="17"/>
        <v>0</v>
      </c>
      <c r="CG253" s="64">
        <f t="shared" si="18"/>
        <v>0</v>
      </c>
      <c r="CH253" s="65"/>
      <c r="CI253" s="115">
        <f t="shared" si="19"/>
        <v>0</v>
      </c>
    </row>
    <row r="254" spans="1:87" ht="15" customHeight="1">
      <c r="A254" s="20">
        <v>232</v>
      </c>
      <c r="B254" s="89"/>
      <c r="C254" s="75"/>
      <c r="D254" s="69"/>
      <c r="E254" s="33"/>
      <c r="F254" s="21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3"/>
      <c r="Y254" s="23"/>
      <c r="Z254" s="23"/>
      <c r="AA254" s="23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40">
        <f t="shared" si="15"/>
        <v>0</v>
      </c>
      <c r="AO254" s="25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  <c r="BS254" s="26"/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63">
        <f t="shared" si="16"/>
        <v>0</v>
      </c>
      <c r="CF254" s="63">
        <f t="shared" si="17"/>
        <v>0</v>
      </c>
      <c r="CG254" s="64">
        <f t="shared" si="18"/>
        <v>0</v>
      </c>
      <c r="CH254" s="65"/>
      <c r="CI254" s="115">
        <f t="shared" si="19"/>
        <v>0</v>
      </c>
    </row>
    <row r="255" spans="1:87" ht="15" customHeight="1">
      <c r="A255" s="20">
        <v>233</v>
      </c>
      <c r="B255" s="89"/>
      <c r="C255" s="75"/>
      <c r="D255" s="69"/>
      <c r="E255" s="33"/>
      <c r="F255" s="21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3"/>
      <c r="Y255" s="23"/>
      <c r="Z255" s="23"/>
      <c r="AA255" s="23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40">
        <f t="shared" si="15"/>
        <v>0</v>
      </c>
      <c r="AO255" s="25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63">
        <f t="shared" si="16"/>
        <v>0</v>
      </c>
      <c r="CF255" s="63">
        <f t="shared" si="17"/>
        <v>0</v>
      </c>
      <c r="CG255" s="64">
        <f t="shared" si="18"/>
        <v>0</v>
      </c>
      <c r="CH255" s="65"/>
      <c r="CI255" s="115">
        <f t="shared" si="19"/>
        <v>0</v>
      </c>
    </row>
    <row r="256" spans="1:87" ht="15.75" customHeight="1">
      <c r="A256" s="20">
        <v>234</v>
      </c>
      <c r="B256" s="89"/>
      <c r="C256" s="75"/>
      <c r="D256" s="69"/>
      <c r="E256" s="33"/>
      <c r="F256" s="21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3"/>
      <c r="Y256" s="23"/>
      <c r="Z256" s="23"/>
      <c r="AA256" s="23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40">
        <f t="shared" si="15"/>
        <v>0</v>
      </c>
      <c r="AO256" s="25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  <c r="BS256" s="26"/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63">
        <f t="shared" si="16"/>
        <v>0</v>
      </c>
      <c r="CF256" s="63">
        <f t="shared" si="17"/>
        <v>0</v>
      </c>
      <c r="CG256" s="64">
        <f t="shared" si="18"/>
        <v>0</v>
      </c>
      <c r="CH256" s="65"/>
      <c r="CI256" s="115">
        <f t="shared" si="19"/>
        <v>0</v>
      </c>
    </row>
    <row r="257" spans="1:87" ht="15" customHeight="1">
      <c r="A257" s="20">
        <v>235</v>
      </c>
      <c r="B257" s="89"/>
      <c r="C257" s="75"/>
      <c r="D257" s="69"/>
      <c r="E257" s="33"/>
      <c r="F257" s="21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3"/>
      <c r="Y257" s="23"/>
      <c r="Z257" s="23"/>
      <c r="AA257" s="23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40">
        <f t="shared" si="15"/>
        <v>0</v>
      </c>
      <c r="AO257" s="25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  <c r="BR257" s="26"/>
      <c r="BS257" s="26"/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63">
        <f t="shared" si="16"/>
        <v>0</v>
      </c>
      <c r="CF257" s="63">
        <f t="shared" si="17"/>
        <v>0</v>
      </c>
      <c r="CG257" s="64">
        <f t="shared" si="18"/>
        <v>0</v>
      </c>
      <c r="CH257" s="65"/>
      <c r="CI257" s="115">
        <f t="shared" si="19"/>
        <v>0</v>
      </c>
    </row>
    <row r="258" spans="1:87" ht="15" customHeight="1">
      <c r="A258" s="20">
        <v>236</v>
      </c>
      <c r="B258" s="89"/>
      <c r="C258" s="75"/>
      <c r="D258" s="69"/>
      <c r="E258" s="33"/>
      <c r="F258" s="21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3"/>
      <c r="Y258" s="23"/>
      <c r="Z258" s="23"/>
      <c r="AA258" s="23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40">
        <f t="shared" si="15"/>
        <v>0</v>
      </c>
      <c r="AO258" s="25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  <c r="BR258" s="26"/>
      <c r="BS258" s="26"/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63">
        <f t="shared" si="16"/>
        <v>0</v>
      </c>
      <c r="CF258" s="63">
        <f t="shared" si="17"/>
        <v>0</v>
      </c>
      <c r="CG258" s="64">
        <f t="shared" si="18"/>
        <v>0</v>
      </c>
      <c r="CH258" s="65"/>
      <c r="CI258" s="115">
        <f t="shared" si="19"/>
        <v>0</v>
      </c>
    </row>
    <row r="259" spans="1:87" ht="15" customHeight="1">
      <c r="A259" s="20">
        <v>237</v>
      </c>
      <c r="B259" s="89"/>
      <c r="C259" s="75"/>
      <c r="D259" s="69"/>
      <c r="E259" s="33"/>
      <c r="F259" s="21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3"/>
      <c r="Y259" s="23"/>
      <c r="Z259" s="23"/>
      <c r="AA259" s="23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40">
        <f t="shared" si="15"/>
        <v>0</v>
      </c>
      <c r="AO259" s="25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26"/>
      <c r="BP259" s="26"/>
      <c r="BQ259" s="26"/>
      <c r="BR259" s="26"/>
      <c r="BS259" s="26"/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63">
        <f t="shared" si="16"/>
        <v>0</v>
      </c>
      <c r="CF259" s="63">
        <f t="shared" si="17"/>
        <v>0</v>
      </c>
      <c r="CG259" s="64">
        <f t="shared" si="18"/>
        <v>0</v>
      </c>
      <c r="CH259" s="65"/>
      <c r="CI259" s="115">
        <f t="shared" si="19"/>
        <v>0</v>
      </c>
    </row>
    <row r="260" spans="1:87" ht="15" customHeight="1">
      <c r="A260" s="20">
        <v>238</v>
      </c>
      <c r="B260" s="89"/>
      <c r="C260" s="75"/>
      <c r="D260" s="69"/>
      <c r="E260" s="33"/>
      <c r="F260" s="21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3"/>
      <c r="Y260" s="23"/>
      <c r="Z260" s="23"/>
      <c r="AA260" s="23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40">
        <f t="shared" si="15"/>
        <v>0</v>
      </c>
      <c r="AO260" s="25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  <c r="BS260" s="26"/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63">
        <f t="shared" si="16"/>
        <v>0</v>
      </c>
      <c r="CF260" s="63">
        <f t="shared" si="17"/>
        <v>0</v>
      </c>
      <c r="CG260" s="64">
        <f t="shared" si="18"/>
        <v>0</v>
      </c>
      <c r="CH260" s="65"/>
      <c r="CI260" s="115">
        <f t="shared" si="19"/>
        <v>0</v>
      </c>
    </row>
    <row r="261" spans="1:87" ht="15.75" customHeight="1">
      <c r="A261" s="20">
        <v>239</v>
      </c>
      <c r="B261" s="89"/>
      <c r="C261" s="75"/>
      <c r="D261" s="69"/>
      <c r="E261" s="33"/>
      <c r="F261" s="21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3"/>
      <c r="Y261" s="23"/>
      <c r="Z261" s="23"/>
      <c r="AA261" s="23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40">
        <f t="shared" si="15"/>
        <v>0</v>
      </c>
      <c r="AO261" s="25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63">
        <f t="shared" si="16"/>
        <v>0</v>
      </c>
      <c r="CF261" s="63">
        <f t="shared" si="17"/>
        <v>0</v>
      </c>
      <c r="CG261" s="64">
        <f t="shared" si="18"/>
        <v>0</v>
      </c>
      <c r="CH261" s="65"/>
      <c r="CI261" s="115">
        <f t="shared" si="19"/>
        <v>0</v>
      </c>
    </row>
    <row r="262" spans="1:87" ht="15" customHeight="1">
      <c r="A262" s="20">
        <v>240</v>
      </c>
      <c r="B262" s="89"/>
      <c r="C262" s="75"/>
      <c r="D262" s="69"/>
      <c r="E262" s="33"/>
      <c r="F262" s="21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3"/>
      <c r="Y262" s="23"/>
      <c r="Z262" s="23"/>
      <c r="AA262" s="23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40">
        <f t="shared" si="15"/>
        <v>0</v>
      </c>
      <c r="AO262" s="25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26"/>
      <c r="BS262" s="26"/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63">
        <f t="shared" si="16"/>
        <v>0</v>
      </c>
      <c r="CF262" s="63">
        <f t="shared" si="17"/>
        <v>0</v>
      </c>
      <c r="CG262" s="64">
        <f t="shared" si="18"/>
        <v>0</v>
      </c>
      <c r="CH262" s="65"/>
      <c r="CI262" s="115">
        <f t="shared" si="19"/>
        <v>0</v>
      </c>
    </row>
    <row r="263" spans="1:87" ht="15" customHeight="1">
      <c r="A263" s="20">
        <v>241</v>
      </c>
      <c r="B263" s="89"/>
      <c r="C263" s="75"/>
      <c r="D263" s="69"/>
      <c r="E263" s="33"/>
      <c r="F263" s="21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3"/>
      <c r="Y263" s="23"/>
      <c r="Z263" s="23"/>
      <c r="AA263" s="23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40">
        <f t="shared" si="15"/>
        <v>0</v>
      </c>
      <c r="AO263" s="25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63">
        <f t="shared" si="16"/>
        <v>0</v>
      </c>
      <c r="CF263" s="63">
        <f t="shared" si="17"/>
        <v>0</v>
      </c>
      <c r="CG263" s="64">
        <f t="shared" si="18"/>
        <v>0</v>
      </c>
      <c r="CH263" s="65"/>
      <c r="CI263" s="115">
        <f t="shared" si="19"/>
        <v>0</v>
      </c>
    </row>
    <row r="264" spans="1:87" ht="15" customHeight="1">
      <c r="A264" s="20">
        <v>242</v>
      </c>
      <c r="B264" s="89"/>
      <c r="C264" s="75"/>
      <c r="D264" s="69"/>
      <c r="E264" s="33"/>
      <c r="F264" s="21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3"/>
      <c r="Y264" s="23"/>
      <c r="Z264" s="23"/>
      <c r="AA264" s="23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40">
        <f t="shared" si="15"/>
        <v>0</v>
      </c>
      <c r="AO264" s="25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63">
        <f t="shared" si="16"/>
        <v>0</v>
      </c>
      <c r="CF264" s="63">
        <f t="shared" si="17"/>
        <v>0</v>
      </c>
      <c r="CG264" s="64">
        <f t="shared" si="18"/>
        <v>0</v>
      </c>
      <c r="CH264" s="65"/>
      <c r="CI264" s="115">
        <f t="shared" si="19"/>
        <v>0</v>
      </c>
    </row>
    <row r="265" spans="1:87" ht="15" customHeight="1">
      <c r="A265" s="20">
        <v>243</v>
      </c>
      <c r="B265" s="89"/>
      <c r="C265" s="75"/>
      <c r="D265" s="69"/>
      <c r="E265" s="33"/>
      <c r="F265" s="21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3"/>
      <c r="Y265" s="23"/>
      <c r="Z265" s="23"/>
      <c r="AA265" s="23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40">
        <f t="shared" si="15"/>
        <v>0</v>
      </c>
      <c r="AO265" s="25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63">
        <f t="shared" si="16"/>
        <v>0</v>
      </c>
      <c r="CF265" s="63">
        <f t="shared" si="17"/>
        <v>0</v>
      </c>
      <c r="CG265" s="64">
        <f t="shared" si="18"/>
        <v>0</v>
      </c>
      <c r="CH265" s="65"/>
      <c r="CI265" s="115">
        <f t="shared" si="19"/>
        <v>0</v>
      </c>
    </row>
    <row r="266" spans="1:87" ht="15.75" customHeight="1">
      <c r="A266" s="20">
        <v>244</v>
      </c>
      <c r="B266" s="89"/>
      <c r="C266" s="75"/>
      <c r="D266" s="69"/>
      <c r="E266" s="33"/>
      <c r="F266" s="21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3"/>
      <c r="Y266" s="23"/>
      <c r="Z266" s="23"/>
      <c r="AA266" s="23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40">
        <f t="shared" si="15"/>
        <v>0</v>
      </c>
      <c r="AO266" s="25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63">
        <f t="shared" si="16"/>
        <v>0</v>
      </c>
      <c r="CF266" s="63">
        <f t="shared" si="17"/>
        <v>0</v>
      </c>
      <c r="CG266" s="64">
        <f t="shared" si="18"/>
        <v>0</v>
      </c>
      <c r="CH266" s="65"/>
      <c r="CI266" s="115">
        <f t="shared" si="19"/>
        <v>0</v>
      </c>
    </row>
    <row r="267" spans="1:87" ht="15" customHeight="1">
      <c r="A267" s="20">
        <v>245</v>
      </c>
      <c r="B267" s="89"/>
      <c r="C267" s="75"/>
      <c r="D267" s="69"/>
      <c r="E267" s="33"/>
      <c r="F267" s="21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3"/>
      <c r="Y267" s="23"/>
      <c r="Z267" s="23"/>
      <c r="AA267" s="23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40">
        <f t="shared" si="15"/>
        <v>0</v>
      </c>
      <c r="AO267" s="25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  <c r="BR267" s="26"/>
      <c r="BS267" s="26"/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63">
        <f t="shared" si="16"/>
        <v>0</v>
      </c>
      <c r="CF267" s="63">
        <f t="shared" si="17"/>
        <v>0</v>
      </c>
      <c r="CG267" s="64">
        <f t="shared" si="18"/>
        <v>0</v>
      </c>
      <c r="CH267" s="65"/>
      <c r="CI267" s="115">
        <f t="shared" si="19"/>
        <v>0</v>
      </c>
    </row>
    <row r="268" spans="1:87" ht="15" customHeight="1">
      <c r="A268" s="20">
        <v>246</v>
      </c>
      <c r="B268" s="89"/>
      <c r="C268" s="75"/>
      <c r="D268" s="69"/>
      <c r="E268" s="33"/>
      <c r="F268" s="21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3"/>
      <c r="Y268" s="23"/>
      <c r="Z268" s="23"/>
      <c r="AA268" s="23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40">
        <f t="shared" si="15"/>
        <v>0</v>
      </c>
      <c r="AO268" s="25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  <c r="BS268" s="26"/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63">
        <f t="shared" si="16"/>
        <v>0</v>
      </c>
      <c r="CF268" s="63">
        <f t="shared" si="17"/>
        <v>0</v>
      </c>
      <c r="CG268" s="64">
        <f t="shared" si="18"/>
        <v>0</v>
      </c>
      <c r="CH268" s="65"/>
      <c r="CI268" s="115">
        <f t="shared" si="19"/>
        <v>0</v>
      </c>
    </row>
    <row r="269" spans="1:87" ht="15" customHeight="1">
      <c r="A269" s="20">
        <v>247</v>
      </c>
      <c r="B269" s="89"/>
      <c r="C269" s="75"/>
      <c r="D269" s="69"/>
      <c r="E269" s="33"/>
      <c r="F269" s="24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3"/>
      <c r="Y269" s="23"/>
      <c r="Z269" s="23"/>
      <c r="AA269" s="23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40">
        <f t="shared" si="15"/>
        <v>0</v>
      </c>
      <c r="AO269" s="25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26"/>
      <c r="BQ269" s="26"/>
      <c r="BR269" s="26"/>
      <c r="BS269" s="26"/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63">
        <f t="shared" si="16"/>
        <v>0</v>
      </c>
      <c r="CF269" s="63">
        <f t="shared" si="17"/>
        <v>0</v>
      </c>
      <c r="CG269" s="64">
        <f t="shared" si="18"/>
        <v>0</v>
      </c>
      <c r="CH269" s="65"/>
      <c r="CI269" s="115">
        <f t="shared" si="19"/>
        <v>0</v>
      </c>
    </row>
    <row r="270" spans="1:87" ht="15" customHeight="1">
      <c r="A270" s="20">
        <v>248</v>
      </c>
      <c r="B270" s="89"/>
      <c r="C270" s="75"/>
      <c r="D270" s="69"/>
      <c r="E270" s="33"/>
      <c r="F270" s="24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3"/>
      <c r="Y270" s="23"/>
      <c r="Z270" s="23"/>
      <c r="AA270" s="23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40">
        <f t="shared" si="15"/>
        <v>0</v>
      </c>
      <c r="AO270" s="25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  <c r="BR270" s="26"/>
      <c r="BS270" s="26"/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63">
        <f t="shared" si="16"/>
        <v>0</v>
      </c>
      <c r="CF270" s="63">
        <f t="shared" si="17"/>
        <v>0</v>
      </c>
      <c r="CG270" s="64">
        <f t="shared" si="18"/>
        <v>0</v>
      </c>
      <c r="CH270" s="65"/>
      <c r="CI270" s="115">
        <f t="shared" si="19"/>
        <v>0</v>
      </c>
    </row>
    <row r="271" spans="1:87" ht="15.75" customHeight="1">
      <c r="A271" s="20">
        <v>249</v>
      </c>
      <c r="B271" s="89"/>
      <c r="C271" s="75"/>
      <c r="D271" s="69"/>
      <c r="E271" s="34"/>
      <c r="F271" s="30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9"/>
      <c r="Y271" s="29"/>
      <c r="Z271" s="29"/>
      <c r="AA271" s="29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40">
        <f t="shared" si="15"/>
        <v>0</v>
      </c>
      <c r="AO271" s="31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26"/>
      <c r="BP271" s="26"/>
      <c r="BQ271" s="26"/>
      <c r="BR271" s="26"/>
      <c r="BS271" s="26"/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63">
        <f t="shared" si="16"/>
        <v>0</v>
      </c>
      <c r="CF271" s="63">
        <f t="shared" si="17"/>
        <v>0</v>
      </c>
      <c r="CG271" s="64">
        <f t="shared" si="18"/>
        <v>0</v>
      </c>
      <c r="CH271" s="65"/>
      <c r="CI271" s="115">
        <f t="shared" si="19"/>
        <v>0</v>
      </c>
    </row>
    <row r="272" spans="1:87">
      <c r="A272" s="20">
        <v>250</v>
      </c>
      <c r="B272" s="90"/>
      <c r="C272" s="76"/>
      <c r="D272" s="69"/>
      <c r="E272" s="33"/>
      <c r="F272" s="36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7"/>
      <c r="Y272" s="37"/>
      <c r="Z272" s="37"/>
      <c r="AA272" s="37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40">
        <f t="shared" si="15"/>
        <v>0</v>
      </c>
      <c r="AO272" s="38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  <c r="BW272" s="39"/>
      <c r="BX272" s="39"/>
      <c r="BY272" s="39"/>
      <c r="BZ272" s="39"/>
      <c r="CA272" s="39"/>
      <c r="CB272" s="39"/>
      <c r="CC272" s="39"/>
      <c r="CD272" s="39"/>
      <c r="CE272" s="63">
        <f t="shared" si="16"/>
        <v>0</v>
      </c>
      <c r="CF272" s="63">
        <f t="shared" si="17"/>
        <v>0</v>
      </c>
      <c r="CG272" s="64">
        <f t="shared" si="18"/>
        <v>0</v>
      </c>
      <c r="CH272" s="65"/>
      <c r="CI272" s="115">
        <f t="shared" si="19"/>
        <v>0</v>
      </c>
    </row>
    <row r="273" spans="1:87">
      <c r="A273" s="20">
        <v>251</v>
      </c>
      <c r="B273" s="90"/>
      <c r="C273" s="76"/>
      <c r="D273" s="69"/>
      <c r="E273" s="33"/>
      <c r="F273" s="36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7"/>
      <c r="Y273" s="37"/>
      <c r="Z273" s="37"/>
      <c r="AA273" s="37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40">
        <f t="shared" si="15"/>
        <v>0</v>
      </c>
      <c r="AO273" s="38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  <c r="BW273" s="39"/>
      <c r="BX273" s="39"/>
      <c r="BY273" s="39"/>
      <c r="BZ273" s="39"/>
      <c r="CA273" s="39"/>
      <c r="CB273" s="39"/>
      <c r="CC273" s="39"/>
      <c r="CD273" s="39"/>
      <c r="CE273" s="63">
        <f t="shared" si="16"/>
        <v>0</v>
      </c>
      <c r="CF273" s="63">
        <f t="shared" si="17"/>
        <v>0</v>
      </c>
      <c r="CG273" s="64">
        <f t="shared" si="18"/>
        <v>0</v>
      </c>
      <c r="CH273" s="65"/>
      <c r="CI273" s="115">
        <f t="shared" si="19"/>
        <v>0</v>
      </c>
    </row>
    <row r="274" spans="1:87">
      <c r="A274" s="20">
        <v>252</v>
      </c>
      <c r="B274" s="90"/>
      <c r="C274" s="76"/>
      <c r="D274" s="69"/>
      <c r="E274" s="33"/>
      <c r="F274" s="36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7"/>
      <c r="Y274" s="37"/>
      <c r="Z274" s="37"/>
      <c r="AA274" s="37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40">
        <f t="shared" si="15"/>
        <v>0</v>
      </c>
      <c r="AO274" s="38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39"/>
      <c r="BX274" s="39"/>
      <c r="BY274" s="39"/>
      <c r="BZ274" s="39"/>
      <c r="CA274" s="39"/>
      <c r="CB274" s="39"/>
      <c r="CC274" s="39"/>
      <c r="CD274" s="39"/>
      <c r="CE274" s="63">
        <f t="shared" si="16"/>
        <v>0</v>
      </c>
      <c r="CF274" s="63">
        <f t="shared" si="17"/>
        <v>0</v>
      </c>
      <c r="CG274" s="64">
        <f t="shared" si="18"/>
        <v>0</v>
      </c>
      <c r="CH274" s="65"/>
      <c r="CI274" s="115">
        <f t="shared" si="19"/>
        <v>0</v>
      </c>
    </row>
    <row r="275" spans="1:87">
      <c r="A275" s="20">
        <v>253</v>
      </c>
      <c r="B275" s="90"/>
      <c r="C275" s="76"/>
      <c r="D275" s="69"/>
      <c r="E275" s="33"/>
      <c r="F275" s="36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7"/>
      <c r="Y275" s="37"/>
      <c r="Z275" s="37"/>
      <c r="AA275" s="37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40">
        <f t="shared" si="15"/>
        <v>0</v>
      </c>
      <c r="AO275" s="38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  <c r="BW275" s="39"/>
      <c r="BX275" s="39"/>
      <c r="BY275" s="39"/>
      <c r="BZ275" s="39"/>
      <c r="CA275" s="39"/>
      <c r="CB275" s="39"/>
      <c r="CC275" s="39"/>
      <c r="CD275" s="39"/>
      <c r="CE275" s="63">
        <f t="shared" si="16"/>
        <v>0</v>
      </c>
      <c r="CF275" s="63">
        <f t="shared" si="17"/>
        <v>0</v>
      </c>
      <c r="CG275" s="64">
        <f t="shared" si="18"/>
        <v>0</v>
      </c>
      <c r="CH275" s="65"/>
      <c r="CI275" s="115">
        <f t="shared" si="19"/>
        <v>0</v>
      </c>
    </row>
    <row r="276" spans="1:87">
      <c r="A276" s="20">
        <v>254</v>
      </c>
      <c r="B276" s="90"/>
      <c r="C276" s="76"/>
      <c r="D276" s="69"/>
      <c r="E276" s="33"/>
      <c r="F276" s="36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7"/>
      <c r="Y276" s="37"/>
      <c r="Z276" s="37"/>
      <c r="AA276" s="37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40">
        <f t="shared" si="15"/>
        <v>0</v>
      </c>
      <c r="AO276" s="38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  <c r="BW276" s="39"/>
      <c r="BX276" s="39"/>
      <c r="BY276" s="39"/>
      <c r="BZ276" s="39"/>
      <c r="CA276" s="39"/>
      <c r="CB276" s="39"/>
      <c r="CC276" s="39"/>
      <c r="CD276" s="39"/>
      <c r="CE276" s="63">
        <f t="shared" si="16"/>
        <v>0</v>
      </c>
      <c r="CF276" s="63">
        <f t="shared" si="17"/>
        <v>0</v>
      </c>
      <c r="CG276" s="64">
        <f t="shared" si="18"/>
        <v>0</v>
      </c>
      <c r="CH276" s="65"/>
      <c r="CI276" s="115">
        <f t="shared" si="19"/>
        <v>0</v>
      </c>
    </row>
    <row r="277" spans="1:87">
      <c r="A277" s="20">
        <v>255</v>
      </c>
      <c r="B277" s="90"/>
      <c r="C277" s="76"/>
      <c r="D277" s="69"/>
      <c r="E277" s="33"/>
      <c r="F277" s="36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7"/>
      <c r="Y277" s="37"/>
      <c r="Z277" s="37"/>
      <c r="AA277" s="37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40">
        <f t="shared" si="15"/>
        <v>0</v>
      </c>
      <c r="AO277" s="38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  <c r="BW277" s="39"/>
      <c r="BX277" s="39"/>
      <c r="BY277" s="39"/>
      <c r="BZ277" s="39"/>
      <c r="CA277" s="39"/>
      <c r="CB277" s="39"/>
      <c r="CC277" s="39"/>
      <c r="CD277" s="39"/>
      <c r="CE277" s="63">
        <f t="shared" si="16"/>
        <v>0</v>
      </c>
      <c r="CF277" s="63">
        <f t="shared" si="17"/>
        <v>0</v>
      </c>
      <c r="CG277" s="64">
        <f t="shared" si="18"/>
        <v>0</v>
      </c>
      <c r="CH277" s="65"/>
      <c r="CI277" s="115">
        <f t="shared" si="19"/>
        <v>0</v>
      </c>
    </row>
    <row r="278" spans="1:87">
      <c r="A278" s="20">
        <v>256</v>
      </c>
      <c r="B278" s="90"/>
      <c r="C278" s="76"/>
      <c r="D278" s="69"/>
      <c r="E278" s="33"/>
      <c r="F278" s="36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7"/>
      <c r="Y278" s="37"/>
      <c r="Z278" s="37"/>
      <c r="AA278" s="37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40">
        <f t="shared" si="15"/>
        <v>0</v>
      </c>
      <c r="AO278" s="38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  <c r="BW278" s="39"/>
      <c r="BX278" s="39"/>
      <c r="BY278" s="39"/>
      <c r="BZ278" s="39"/>
      <c r="CA278" s="39"/>
      <c r="CB278" s="39"/>
      <c r="CC278" s="39"/>
      <c r="CD278" s="39"/>
      <c r="CE278" s="63">
        <f t="shared" si="16"/>
        <v>0</v>
      </c>
      <c r="CF278" s="63">
        <f t="shared" si="17"/>
        <v>0</v>
      </c>
      <c r="CG278" s="64">
        <f t="shared" si="18"/>
        <v>0</v>
      </c>
      <c r="CH278" s="65"/>
      <c r="CI278" s="115">
        <f t="shared" si="19"/>
        <v>0</v>
      </c>
    </row>
    <row r="279" spans="1:87">
      <c r="A279" s="20">
        <v>257</v>
      </c>
      <c r="B279" s="90"/>
      <c r="C279" s="76"/>
      <c r="D279" s="70"/>
      <c r="E279" s="33"/>
      <c r="F279" s="36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7"/>
      <c r="Y279" s="37"/>
      <c r="Z279" s="37"/>
      <c r="AA279" s="37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40">
        <f t="shared" si="15"/>
        <v>0</v>
      </c>
      <c r="AO279" s="38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39"/>
      <c r="CD279" s="39"/>
      <c r="CE279" s="63">
        <f t="shared" si="16"/>
        <v>0</v>
      </c>
      <c r="CF279" s="63">
        <f t="shared" si="17"/>
        <v>0</v>
      </c>
      <c r="CG279" s="64">
        <f t="shared" si="18"/>
        <v>0</v>
      </c>
      <c r="CH279" s="66"/>
      <c r="CI279" s="115">
        <f t="shared" si="19"/>
        <v>0</v>
      </c>
    </row>
    <row r="280" spans="1:87">
      <c r="A280" s="20">
        <v>258</v>
      </c>
      <c r="B280" s="90"/>
      <c r="C280" s="76"/>
      <c r="D280" s="70"/>
      <c r="E280" s="33"/>
      <c r="F280" s="36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7"/>
      <c r="Y280" s="37"/>
      <c r="Z280" s="37"/>
      <c r="AA280" s="37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40">
        <f t="shared" ref="AN280:AN322" si="20">SUM(F280:AM280)</f>
        <v>0</v>
      </c>
      <c r="AO280" s="38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  <c r="BW280" s="39"/>
      <c r="BX280" s="39"/>
      <c r="BY280" s="39"/>
      <c r="BZ280" s="39"/>
      <c r="CA280" s="39"/>
      <c r="CB280" s="39"/>
      <c r="CC280" s="39"/>
      <c r="CD280" s="39"/>
      <c r="CE280" s="63">
        <f t="shared" ref="CE280:CE322" si="21">SUM(AO280:CD280)</f>
        <v>0</v>
      </c>
      <c r="CF280" s="63">
        <f t="shared" ref="CF280:CF322" si="22">SUM(AN280,CE280)</f>
        <v>0</v>
      </c>
      <c r="CG280" s="64">
        <f t="shared" ref="CG280:CG322" si="23">SUM(CF280/140*60)</f>
        <v>0</v>
      </c>
      <c r="CH280" s="66"/>
      <c r="CI280" s="115">
        <f t="shared" ref="CI280:CI322" si="24">SUM(CG280,CH280)</f>
        <v>0</v>
      </c>
    </row>
    <row r="281" spans="1:87">
      <c r="A281" s="20">
        <v>259</v>
      </c>
      <c r="B281" s="90"/>
      <c r="C281" s="76"/>
      <c r="D281" s="70"/>
      <c r="E281" s="33"/>
      <c r="F281" s="36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7"/>
      <c r="Y281" s="37"/>
      <c r="Z281" s="37"/>
      <c r="AA281" s="37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40">
        <f t="shared" si="20"/>
        <v>0</v>
      </c>
      <c r="AO281" s="38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39"/>
      <c r="BX281" s="39"/>
      <c r="BY281" s="39"/>
      <c r="BZ281" s="39"/>
      <c r="CA281" s="39"/>
      <c r="CB281" s="39"/>
      <c r="CC281" s="39"/>
      <c r="CD281" s="39"/>
      <c r="CE281" s="63">
        <f t="shared" si="21"/>
        <v>0</v>
      </c>
      <c r="CF281" s="63">
        <f t="shared" si="22"/>
        <v>0</v>
      </c>
      <c r="CG281" s="64">
        <f t="shared" si="23"/>
        <v>0</v>
      </c>
      <c r="CH281" s="66"/>
      <c r="CI281" s="115">
        <f t="shared" si="24"/>
        <v>0</v>
      </c>
    </row>
    <row r="282" spans="1:87">
      <c r="A282" s="20">
        <v>260</v>
      </c>
      <c r="B282" s="90"/>
      <c r="C282" s="76"/>
      <c r="D282" s="70"/>
      <c r="E282" s="33"/>
      <c r="F282" s="36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7"/>
      <c r="Y282" s="37"/>
      <c r="Z282" s="37"/>
      <c r="AA282" s="37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40">
        <f t="shared" si="20"/>
        <v>0</v>
      </c>
      <c r="AO282" s="38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  <c r="BW282" s="39"/>
      <c r="BX282" s="39"/>
      <c r="BY282" s="39"/>
      <c r="BZ282" s="39"/>
      <c r="CA282" s="39"/>
      <c r="CB282" s="39"/>
      <c r="CC282" s="39"/>
      <c r="CD282" s="39"/>
      <c r="CE282" s="63">
        <f t="shared" si="21"/>
        <v>0</v>
      </c>
      <c r="CF282" s="63">
        <f t="shared" si="22"/>
        <v>0</v>
      </c>
      <c r="CG282" s="64">
        <f t="shared" si="23"/>
        <v>0</v>
      </c>
      <c r="CH282" s="66"/>
      <c r="CI282" s="115">
        <f t="shared" si="24"/>
        <v>0</v>
      </c>
    </row>
    <row r="283" spans="1:87">
      <c r="A283" s="20">
        <v>261</v>
      </c>
      <c r="B283" s="90"/>
      <c r="C283" s="76"/>
      <c r="D283" s="70"/>
      <c r="E283" s="33"/>
      <c r="F283" s="36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7"/>
      <c r="Y283" s="37"/>
      <c r="Z283" s="37"/>
      <c r="AA283" s="37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40">
        <f t="shared" si="20"/>
        <v>0</v>
      </c>
      <c r="AO283" s="38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  <c r="BW283" s="39"/>
      <c r="BX283" s="39"/>
      <c r="BY283" s="39"/>
      <c r="BZ283" s="39"/>
      <c r="CA283" s="39"/>
      <c r="CB283" s="39"/>
      <c r="CC283" s="39"/>
      <c r="CD283" s="39"/>
      <c r="CE283" s="63">
        <f t="shared" si="21"/>
        <v>0</v>
      </c>
      <c r="CF283" s="63">
        <f t="shared" si="22"/>
        <v>0</v>
      </c>
      <c r="CG283" s="64">
        <f t="shared" si="23"/>
        <v>0</v>
      </c>
      <c r="CH283" s="66"/>
      <c r="CI283" s="115">
        <f t="shared" si="24"/>
        <v>0</v>
      </c>
    </row>
    <row r="284" spans="1:87">
      <c r="A284" s="20">
        <v>262</v>
      </c>
      <c r="B284" s="90"/>
      <c r="C284" s="76"/>
      <c r="D284" s="70"/>
      <c r="E284" s="33"/>
      <c r="F284" s="36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7"/>
      <c r="Y284" s="37"/>
      <c r="Z284" s="37"/>
      <c r="AA284" s="37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40">
        <f t="shared" si="20"/>
        <v>0</v>
      </c>
      <c r="AO284" s="38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  <c r="BW284" s="39"/>
      <c r="BX284" s="39"/>
      <c r="BY284" s="39"/>
      <c r="BZ284" s="39"/>
      <c r="CA284" s="39"/>
      <c r="CB284" s="39"/>
      <c r="CC284" s="39"/>
      <c r="CD284" s="39"/>
      <c r="CE284" s="63">
        <f t="shared" si="21"/>
        <v>0</v>
      </c>
      <c r="CF284" s="63">
        <f t="shared" si="22"/>
        <v>0</v>
      </c>
      <c r="CG284" s="64">
        <f t="shared" si="23"/>
        <v>0</v>
      </c>
      <c r="CH284" s="66"/>
      <c r="CI284" s="115">
        <f t="shared" si="24"/>
        <v>0</v>
      </c>
    </row>
    <row r="285" spans="1:87">
      <c r="A285" s="20">
        <v>263</v>
      </c>
      <c r="B285" s="90"/>
      <c r="C285" s="76"/>
      <c r="D285" s="70"/>
      <c r="E285" s="33"/>
      <c r="F285" s="36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7"/>
      <c r="Y285" s="37"/>
      <c r="Z285" s="37"/>
      <c r="AA285" s="37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40">
        <f t="shared" si="20"/>
        <v>0</v>
      </c>
      <c r="AO285" s="38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  <c r="BW285" s="39"/>
      <c r="BX285" s="39"/>
      <c r="BY285" s="39"/>
      <c r="BZ285" s="39"/>
      <c r="CA285" s="39"/>
      <c r="CB285" s="39"/>
      <c r="CC285" s="39"/>
      <c r="CD285" s="39"/>
      <c r="CE285" s="63">
        <f t="shared" si="21"/>
        <v>0</v>
      </c>
      <c r="CF285" s="63">
        <f t="shared" si="22"/>
        <v>0</v>
      </c>
      <c r="CG285" s="64">
        <f t="shared" si="23"/>
        <v>0</v>
      </c>
      <c r="CH285" s="66"/>
      <c r="CI285" s="115">
        <f t="shared" si="24"/>
        <v>0</v>
      </c>
    </row>
    <row r="286" spans="1:87">
      <c r="A286" s="20">
        <v>264</v>
      </c>
      <c r="B286" s="90"/>
      <c r="C286" s="76"/>
      <c r="D286" s="70"/>
      <c r="E286" s="33"/>
      <c r="F286" s="36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7"/>
      <c r="Y286" s="37"/>
      <c r="Z286" s="37"/>
      <c r="AA286" s="37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40">
        <f t="shared" si="20"/>
        <v>0</v>
      </c>
      <c r="AO286" s="38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  <c r="BW286" s="39"/>
      <c r="BX286" s="39"/>
      <c r="BY286" s="39"/>
      <c r="BZ286" s="39"/>
      <c r="CA286" s="39"/>
      <c r="CB286" s="39"/>
      <c r="CC286" s="39"/>
      <c r="CD286" s="39"/>
      <c r="CE286" s="63">
        <f t="shared" si="21"/>
        <v>0</v>
      </c>
      <c r="CF286" s="63">
        <f t="shared" si="22"/>
        <v>0</v>
      </c>
      <c r="CG286" s="64">
        <f t="shared" si="23"/>
        <v>0</v>
      </c>
      <c r="CH286" s="66"/>
      <c r="CI286" s="115">
        <f t="shared" si="24"/>
        <v>0</v>
      </c>
    </row>
    <row r="287" spans="1:87">
      <c r="A287" s="20">
        <v>265</v>
      </c>
      <c r="B287" s="90"/>
      <c r="C287" s="76"/>
      <c r="D287" s="70"/>
      <c r="E287" s="33"/>
      <c r="F287" s="36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7"/>
      <c r="Y287" s="37"/>
      <c r="Z287" s="37"/>
      <c r="AA287" s="37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40">
        <f t="shared" si="20"/>
        <v>0</v>
      </c>
      <c r="AO287" s="38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  <c r="BW287" s="39"/>
      <c r="BX287" s="39"/>
      <c r="BY287" s="39"/>
      <c r="BZ287" s="39"/>
      <c r="CA287" s="39"/>
      <c r="CB287" s="39"/>
      <c r="CC287" s="39"/>
      <c r="CD287" s="39"/>
      <c r="CE287" s="63">
        <f t="shared" si="21"/>
        <v>0</v>
      </c>
      <c r="CF287" s="63">
        <f t="shared" si="22"/>
        <v>0</v>
      </c>
      <c r="CG287" s="64">
        <f t="shared" si="23"/>
        <v>0</v>
      </c>
      <c r="CH287" s="66"/>
      <c r="CI287" s="115">
        <f t="shared" si="24"/>
        <v>0</v>
      </c>
    </row>
    <row r="288" spans="1:87">
      <c r="A288" s="20">
        <v>266</v>
      </c>
      <c r="B288" s="90"/>
      <c r="C288" s="76"/>
      <c r="D288" s="70"/>
      <c r="E288" s="33"/>
      <c r="F288" s="36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7"/>
      <c r="Y288" s="37"/>
      <c r="Z288" s="37"/>
      <c r="AA288" s="37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40">
        <f t="shared" si="20"/>
        <v>0</v>
      </c>
      <c r="AO288" s="38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BH288" s="39"/>
      <c r="BI288" s="39"/>
      <c r="BJ288" s="39"/>
      <c r="BK288" s="39"/>
      <c r="BL288" s="39"/>
      <c r="BM288" s="39"/>
      <c r="BN288" s="39"/>
      <c r="BO288" s="39"/>
      <c r="BP288" s="39"/>
      <c r="BQ288" s="39"/>
      <c r="BR288" s="39"/>
      <c r="BS288" s="39"/>
      <c r="BT288" s="39"/>
      <c r="BU288" s="39"/>
      <c r="BV288" s="39"/>
      <c r="BW288" s="39"/>
      <c r="BX288" s="39"/>
      <c r="BY288" s="39"/>
      <c r="BZ288" s="39"/>
      <c r="CA288" s="39"/>
      <c r="CB288" s="39"/>
      <c r="CC288" s="39"/>
      <c r="CD288" s="39"/>
      <c r="CE288" s="63">
        <f t="shared" si="21"/>
        <v>0</v>
      </c>
      <c r="CF288" s="63">
        <f t="shared" si="22"/>
        <v>0</v>
      </c>
      <c r="CG288" s="64">
        <f t="shared" si="23"/>
        <v>0</v>
      </c>
      <c r="CH288" s="66"/>
      <c r="CI288" s="115">
        <f t="shared" si="24"/>
        <v>0</v>
      </c>
    </row>
    <row r="289" spans="1:87">
      <c r="A289" s="20">
        <v>267</v>
      </c>
      <c r="B289" s="90"/>
      <c r="C289" s="76"/>
      <c r="D289" s="70"/>
      <c r="E289" s="33"/>
      <c r="F289" s="36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7"/>
      <c r="Y289" s="37"/>
      <c r="Z289" s="37"/>
      <c r="AA289" s="37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40">
        <f t="shared" si="20"/>
        <v>0</v>
      </c>
      <c r="AO289" s="38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  <c r="BW289" s="39"/>
      <c r="BX289" s="39"/>
      <c r="BY289" s="39"/>
      <c r="BZ289" s="39"/>
      <c r="CA289" s="39"/>
      <c r="CB289" s="39"/>
      <c r="CC289" s="39"/>
      <c r="CD289" s="39"/>
      <c r="CE289" s="63">
        <f t="shared" si="21"/>
        <v>0</v>
      </c>
      <c r="CF289" s="63">
        <f t="shared" si="22"/>
        <v>0</v>
      </c>
      <c r="CG289" s="64">
        <f t="shared" si="23"/>
        <v>0</v>
      </c>
      <c r="CH289" s="66"/>
      <c r="CI289" s="115">
        <f t="shared" si="24"/>
        <v>0</v>
      </c>
    </row>
    <row r="290" spans="1:87">
      <c r="A290" s="20">
        <v>268</v>
      </c>
      <c r="B290" s="90"/>
      <c r="C290" s="76"/>
      <c r="D290" s="70"/>
      <c r="E290" s="33"/>
      <c r="F290" s="36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7"/>
      <c r="Y290" s="37"/>
      <c r="Z290" s="37"/>
      <c r="AA290" s="37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40">
        <f t="shared" si="20"/>
        <v>0</v>
      </c>
      <c r="AO290" s="38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  <c r="BW290" s="39"/>
      <c r="BX290" s="39"/>
      <c r="BY290" s="39"/>
      <c r="BZ290" s="39"/>
      <c r="CA290" s="39"/>
      <c r="CB290" s="39"/>
      <c r="CC290" s="39"/>
      <c r="CD290" s="39"/>
      <c r="CE290" s="63">
        <f t="shared" si="21"/>
        <v>0</v>
      </c>
      <c r="CF290" s="63">
        <f t="shared" si="22"/>
        <v>0</v>
      </c>
      <c r="CG290" s="64">
        <f t="shared" si="23"/>
        <v>0</v>
      </c>
      <c r="CH290" s="66"/>
      <c r="CI290" s="115">
        <f t="shared" si="24"/>
        <v>0</v>
      </c>
    </row>
    <row r="291" spans="1:87">
      <c r="A291" s="20">
        <v>269</v>
      </c>
      <c r="B291" s="90"/>
      <c r="C291" s="76"/>
      <c r="D291" s="70"/>
      <c r="E291" s="33"/>
      <c r="F291" s="36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7"/>
      <c r="Y291" s="37"/>
      <c r="Z291" s="37"/>
      <c r="AA291" s="37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40">
        <f t="shared" si="20"/>
        <v>0</v>
      </c>
      <c r="AO291" s="38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  <c r="BS291" s="39"/>
      <c r="BT291" s="39"/>
      <c r="BU291" s="39"/>
      <c r="BV291" s="39"/>
      <c r="BW291" s="39"/>
      <c r="BX291" s="39"/>
      <c r="BY291" s="39"/>
      <c r="BZ291" s="39"/>
      <c r="CA291" s="39"/>
      <c r="CB291" s="39"/>
      <c r="CC291" s="39"/>
      <c r="CD291" s="39"/>
      <c r="CE291" s="63">
        <f t="shared" si="21"/>
        <v>0</v>
      </c>
      <c r="CF291" s="63">
        <f t="shared" si="22"/>
        <v>0</v>
      </c>
      <c r="CG291" s="64">
        <f t="shared" si="23"/>
        <v>0</v>
      </c>
      <c r="CH291" s="66"/>
      <c r="CI291" s="115">
        <f t="shared" si="24"/>
        <v>0</v>
      </c>
    </row>
    <row r="292" spans="1:87">
      <c r="A292" s="20">
        <v>270</v>
      </c>
      <c r="B292" s="90"/>
      <c r="C292" s="76"/>
      <c r="D292" s="70"/>
      <c r="E292" s="33"/>
      <c r="F292" s="36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7"/>
      <c r="Y292" s="37"/>
      <c r="Z292" s="37"/>
      <c r="AA292" s="37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40">
        <f t="shared" si="20"/>
        <v>0</v>
      </c>
      <c r="AO292" s="38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  <c r="BE292" s="39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  <c r="BW292" s="39"/>
      <c r="BX292" s="39"/>
      <c r="BY292" s="39"/>
      <c r="BZ292" s="39"/>
      <c r="CA292" s="39"/>
      <c r="CB292" s="39"/>
      <c r="CC292" s="39"/>
      <c r="CD292" s="39"/>
      <c r="CE292" s="63">
        <f t="shared" si="21"/>
        <v>0</v>
      </c>
      <c r="CF292" s="63">
        <f t="shared" si="22"/>
        <v>0</v>
      </c>
      <c r="CG292" s="64">
        <f t="shared" si="23"/>
        <v>0</v>
      </c>
      <c r="CH292" s="66"/>
      <c r="CI292" s="115">
        <f t="shared" si="24"/>
        <v>0</v>
      </c>
    </row>
    <row r="293" spans="1:87">
      <c r="A293" s="20">
        <v>271</v>
      </c>
      <c r="B293" s="90"/>
      <c r="C293" s="76"/>
      <c r="D293" s="70"/>
      <c r="E293" s="33"/>
      <c r="F293" s="36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7"/>
      <c r="Y293" s="37"/>
      <c r="Z293" s="37"/>
      <c r="AA293" s="37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40">
        <f t="shared" si="20"/>
        <v>0</v>
      </c>
      <c r="AO293" s="38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  <c r="BW293" s="39"/>
      <c r="BX293" s="39"/>
      <c r="BY293" s="39"/>
      <c r="BZ293" s="39"/>
      <c r="CA293" s="39"/>
      <c r="CB293" s="39"/>
      <c r="CC293" s="39"/>
      <c r="CD293" s="39"/>
      <c r="CE293" s="63">
        <f t="shared" si="21"/>
        <v>0</v>
      </c>
      <c r="CF293" s="63">
        <f t="shared" si="22"/>
        <v>0</v>
      </c>
      <c r="CG293" s="64">
        <f t="shared" si="23"/>
        <v>0</v>
      </c>
      <c r="CH293" s="66"/>
      <c r="CI293" s="115">
        <f t="shared" si="24"/>
        <v>0</v>
      </c>
    </row>
    <row r="294" spans="1:87">
      <c r="A294" s="20">
        <v>272</v>
      </c>
      <c r="B294" s="90"/>
      <c r="C294" s="76"/>
      <c r="D294" s="70"/>
      <c r="E294" s="33"/>
      <c r="F294" s="36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7"/>
      <c r="Y294" s="37"/>
      <c r="Z294" s="37"/>
      <c r="AA294" s="37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40">
        <f t="shared" si="20"/>
        <v>0</v>
      </c>
      <c r="AO294" s="38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9"/>
      <c r="BD294" s="39"/>
      <c r="BE294" s="39"/>
      <c r="BF294" s="39"/>
      <c r="BG294" s="39"/>
      <c r="BH294" s="3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  <c r="BW294" s="39"/>
      <c r="BX294" s="39"/>
      <c r="BY294" s="39"/>
      <c r="BZ294" s="39"/>
      <c r="CA294" s="39"/>
      <c r="CB294" s="39"/>
      <c r="CC294" s="39"/>
      <c r="CD294" s="39"/>
      <c r="CE294" s="63">
        <f t="shared" si="21"/>
        <v>0</v>
      </c>
      <c r="CF294" s="63">
        <f t="shared" si="22"/>
        <v>0</v>
      </c>
      <c r="CG294" s="64">
        <f t="shared" si="23"/>
        <v>0</v>
      </c>
      <c r="CH294" s="66"/>
      <c r="CI294" s="115">
        <f t="shared" si="24"/>
        <v>0</v>
      </c>
    </row>
    <row r="295" spans="1:87">
      <c r="A295" s="20">
        <v>273</v>
      </c>
      <c r="B295" s="90"/>
      <c r="C295" s="76"/>
      <c r="D295" s="70"/>
      <c r="E295" s="33"/>
      <c r="F295" s="36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7"/>
      <c r="Y295" s="37"/>
      <c r="Z295" s="37"/>
      <c r="AA295" s="37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40">
        <f t="shared" si="20"/>
        <v>0</v>
      </c>
      <c r="AO295" s="38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39"/>
      <c r="BX295" s="39"/>
      <c r="BY295" s="39"/>
      <c r="BZ295" s="39"/>
      <c r="CA295" s="39"/>
      <c r="CB295" s="39"/>
      <c r="CC295" s="39"/>
      <c r="CD295" s="39"/>
      <c r="CE295" s="63">
        <f t="shared" si="21"/>
        <v>0</v>
      </c>
      <c r="CF295" s="63">
        <f t="shared" si="22"/>
        <v>0</v>
      </c>
      <c r="CG295" s="64">
        <f t="shared" si="23"/>
        <v>0</v>
      </c>
      <c r="CH295" s="66"/>
      <c r="CI295" s="115">
        <f t="shared" si="24"/>
        <v>0</v>
      </c>
    </row>
    <row r="296" spans="1:87">
      <c r="A296" s="20">
        <v>274</v>
      </c>
      <c r="B296" s="90"/>
      <c r="C296" s="76"/>
      <c r="D296" s="70"/>
      <c r="E296" s="33"/>
      <c r="F296" s="36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7"/>
      <c r="Y296" s="37"/>
      <c r="Z296" s="37"/>
      <c r="AA296" s="37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40">
        <f t="shared" si="20"/>
        <v>0</v>
      </c>
      <c r="AO296" s="38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39"/>
      <c r="BX296" s="39"/>
      <c r="BY296" s="39"/>
      <c r="BZ296" s="39"/>
      <c r="CA296" s="39"/>
      <c r="CB296" s="39"/>
      <c r="CC296" s="39"/>
      <c r="CD296" s="39"/>
      <c r="CE296" s="63">
        <f t="shared" si="21"/>
        <v>0</v>
      </c>
      <c r="CF296" s="63">
        <f t="shared" si="22"/>
        <v>0</v>
      </c>
      <c r="CG296" s="64">
        <f t="shared" si="23"/>
        <v>0</v>
      </c>
      <c r="CH296" s="66"/>
      <c r="CI296" s="115">
        <f t="shared" si="24"/>
        <v>0</v>
      </c>
    </row>
    <row r="297" spans="1:87">
      <c r="A297" s="20">
        <v>275</v>
      </c>
      <c r="B297" s="90"/>
      <c r="C297" s="76"/>
      <c r="D297" s="70"/>
      <c r="E297" s="33"/>
      <c r="F297" s="36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7"/>
      <c r="Y297" s="37"/>
      <c r="Z297" s="37"/>
      <c r="AA297" s="37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40">
        <f t="shared" si="20"/>
        <v>0</v>
      </c>
      <c r="AO297" s="38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  <c r="BW297" s="39"/>
      <c r="BX297" s="39"/>
      <c r="BY297" s="39"/>
      <c r="BZ297" s="39"/>
      <c r="CA297" s="39"/>
      <c r="CB297" s="39"/>
      <c r="CC297" s="39"/>
      <c r="CD297" s="39"/>
      <c r="CE297" s="63">
        <f t="shared" si="21"/>
        <v>0</v>
      </c>
      <c r="CF297" s="63">
        <f t="shared" si="22"/>
        <v>0</v>
      </c>
      <c r="CG297" s="64">
        <f t="shared" si="23"/>
        <v>0</v>
      </c>
      <c r="CH297" s="66"/>
      <c r="CI297" s="115">
        <f t="shared" si="24"/>
        <v>0</v>
      </c>
    </row>
    <row r="298" spans="1:87">
      <c r="A298" s="20">
        <v>276</v>
      </c>
      <c r="B298" s="90"/>
      <c r="C298" s="76"/>
      <c r="D298" s="70"/>
      <c r="E298" s="33"/>
      <c r="F298" s="36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7"/>
      <c r="Y298" s="37"/>
      <c r="Z298" s="37"/>
      <c r="AA298" s="37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40">
        <f t="shared" si="20"/>
        <v>0</v>
      </c>
      <c r="AO298" s="38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39"/>
      <c r="BX298" s="39"/>
      <c r="BY298" s="39"/>
      <c r="BZ298" s="39"/>
      <c r="CA298" s="39"/>
      <c r="CB298" s="39"/>
      <c r="CC298" s="39"/>
      <c r="CD298" s="39"/>
      <c r="CE298" s="63">
        <f t="shared" si="21"/>
        <v>0</v>
      </c>
      <c r="CF298" s="63">
        <f t="shared" si="22"/>
        <v>0</v>
      </c>
      <c r="CG298" s="64">
        <f t="shared" si="23"/>
        <v>0</v>
      </c>
      <c r="CH298" s="66"/>
      <c r="CI298" s="115">
        <f t="shared" si="24"/>
        <v>0</v>
      </c>
    </row>
    <row r="299" spans="1:87">
      <c r="A299" s="20">
        <v>277</v>
      </c>
      <c r="B299" s="90"/>
      <c r="C299" s="76"/>
      <c r="D299" s="70"/>
      <c r="E299" s="33"/>
      <c r="F299" s="36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7"/>
      <c r="Y299" s="37"/>
      <c r="Z299" s="37"/>
      <c r="AA299" s="37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40">
        <f t="shared" si="20"/>
        <v>0</v>
      </c>
      <c r="AO299" s="38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39"/>
      <c r="BX299" s="39"/>
      <c r="BY299" s="39"/>
      <c r="BZ299" s="39"/>
      <c r="CA299" s="39"/>
      <c r="CB299" s="39"/>
      <c r="CC299" s="39"/>
      <c r="CD299" s="39"/>
      <c r="CE299" s="63">
        <f t="shared" si="21"/>
        <v>0</v>
      </c>
      <c r="CF299" s="63">
        <f t="shared" si="22"/>
        <v>0</v>
      </c>
      <c r="CG299" s="64">
        <f t="shared" si="23"/>
        <v>0</v>
      </c>
      <c r="CH299" s="66"/>
      <c r="CI299" s="115">
        <f t="shared" si="24"/>
        <v>0</v>
      </c>
    </row>
    <row r="300" spans="1:87">
      <c r="A300" s="20">
        <v>278</v>
      </c>
      <c r="B300" s="90"/>
      <c r="C300" s="76"/>
      <c r="D300" s="70"/>
      <c r="E300" s="33"/>
      <c r="F300" s="36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7"/>
      <c r="Y300" s="37"/>
      <c r="Z300" s="37"/>
      <c r="AA300" s="37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40">
        <f t="shared" si="20"/>
        <v>0</v>
      </c>
      <c r="AO300" s="38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9"/>
      <c r="BD300" s="39"/>
      <c r="BE300" s="39"/>
      <c r="BF300" s="39"/>
      <c r="BG300" s="39"/>
      <c r="BH300" s="39"/>
      <c r="BI300" s="39"/>
      <c r="BJ300" s="39"/>
      <c r="BK300" s="39"/>
      <c r="BL300" s="39"/>
      <c r="BM300" s="39"/>
      <c r="BN300" s="39"/>
      <c r="BO300" s="39"/>
      <c r="BP300" s="39"/>
      <c r="BQ300" s="39"/>
      <c r="BR300" s="39"/>
      <c r="BS300" s="39"/>
      <c r="BT300" s="39"/>
      <c r="BU300" s="39"/>
      <c r="BV300" s="39"/>
      <c r="BW300" s="39"/>
      <c r="BX300" s="39"/>
      <c r="BY300" s="39"/>
      <c r="BZ300" s="39"/>
      <c r="CA300" s="39"/>
      <c r="CB300" s="39"/>
      <c r="CC300" s="39"/>
      <c r="CD300" s="39"/>
      <c r="CE300" s="63">
        <f t="shared" si="21"/>
        <v>0</v>
      </c>
      <c r="CF300" s="63">
        <f t="shared" si="22"/>
        <v>0</v>
      </c>
      <c r="CG300" s="64">
        <f t="shared" si="23"/>
        <v>0</v>
      </c>
      <c r="CH300" s="66"/>
      <c r="CI300" s="115">
        <f t="shared" si="24"/>
        <v>0</v>
      </c>
    </row>
    <row r="301" spans="1:87">
      <c r="A301" s="20">
        <v>279</v>
      </c>
      <c r="B301" s="90"/>
      <c r="C301" s="76"/>
      <c r="D301" s="70"/>
      <c r="E301" s="33"/>
      <c r="F301" s="36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7"/>
      <c r="Y301" s="37"/>
      <c r="Z301" s="37"/>
      <c r="AA301" s="37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40">
        <f t="shared" si="20"/>
        <v>0</v>
      </c>
      <c r="AO301" s="38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39"/>
      <c r="BX301" s="39"/>
      <c r="BY301" s="39"/>
      <c r="BZ301" s="39"/>
      <c r="CA301" s="39"/>
      <c r="CB301" s="39"/>
      <c r="CC301" s="39"/>
      <c r="CD301" s="39"/>
      <c r="CE301" s="63">
        <f t="shared" si="21"/>
        <v>0</v>
      </c>
      <c r="CF301" s="63">
        <f t="shared" si="22"/>
        <v>0</v>
      </c>
      <c r="CG301" s="64">
        <f t="shared" si="23"/>
        <v>0</v>
      </c>
      <c r="CH301" s="66"/>
      <c r="CI301" s="115">
        <f t="shared" si="24"/>
        <v>0</v>
      </c>
    </row>
    <row r="302" spans="1:87">
      <c r="A302" s="20">
        <v>280</v>
      </c>
      <c r="B302" s="90"/>
      <c r="C302" s="76"/>
      <c r="D302" s="70"/>
      <c r="E302" s="33"/>
      <c r="F302" s="36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7"/>
      <c r="Y302" s="37"/>
      <c r="Z302" s="37"/>
      <c r="AA302" s="37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40">
        <f t="shared" si="20"/>
        <v>0</v>
      </c>
      <c r="AO302" s="38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  <c r="BW302" s="39"/>
      <c r="BX302" s="39"/>
      <c r="BY302" s="39"/>
      <c r="BZ302" s="39"/>
      <c r="CA302" s="39"/>
      <c r="CB302" s="39"/>
      <c r="CC302" s="39"/>
      <c r="CD302" s="39"/>
      <c r="CE302" s="63">
        <f t="shared" si="21"/>
        <v>0</v>
      </c>
      <c r="CF302" s="63">
        <f t="shared" si="22"/>
        <v>0</v>
      </c>
      <c r="CG302" s="64">
        <f t="shared" si="23"/>
        <v>0</v>
      </c>
      <c r="CH302" s="66"/>
      <c r="CI302" s="115">
        <f t="shared" si="24"/>
        <v>0</v>
      </c>
    </row>
    <row r="303" spans="1:87">
      <c r="A303" s="20">
        <v>281</v>
      </c>
      <c r="B303" s="90"/>
      <c r="C303" s="76"/>
      <c r="D303" s="70"/>
      <c r="E303" s="33"/>
      <c r="F303" s="36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7"/>
      <c r="Y303" s="37"/>
      <c r="Z303" s="37"/>
      <c r="AA303" s="37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40">
        <f t="shared" si="20"/>
        <v>0</v>
      </c>
      <c r="AO303" s="38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  <c r="BU303" s="39"/>
      <c r="BV303" s="39"/>
      <c r="BW303" s="39"/>
      <c r="BX303" s="39"/>
      <c r="BY303" s="39"/>
      <c r="BZ303" s="39"/>
      <c r="CA303" s="39"/>
      <c r="CB303" s="39"/>
      <c r="CC303" s="39"/>
      <c r="CD303" s="39"/>
      <c r="CE303" s="63">
        <f t="shared" si="21"/>
        <v>0</v>
      </c>
      <c r="CF303" s="63">
        <f t="shared" si="22"/>
        <v>0</v>
      </c>
      <c r="CG303" s="64">
        <f t="shared" si="23"/>
        <v>0</v>
      </c>
      <c r="CH303" s="66"/>
      <c r="CI303" s="115">
        <f t="shared" si="24"/>
        <v>0</v>
      </c>
    </row>
    <row r="304" spans="1:87">
      <c r="A304" s="20">
        <v>282</v>
      </c>
      <c r="B304" s="90"/>
      <c r="C304" s="76"/>
      <c r="D304" s="70"/>
      <c r="E304" s="33"/>
      <c r="F304" s="36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7"/>
      <c r="Y304" s="37"/>
      <c r="Z304" s="37"/>
      <c r="AA304" s="37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40">
        <f t="shared" si="20"/>
        <v>0</v>
      </c>
      <c r="AO304" s="38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  <c r="BW304" s="39"/>
      <c r="BX304" s="39"/>
      <c r="BY304" s="39"/>
      <c r="BZ304" s="39"/>
      <c r="CA304" s="39"/>
      <c r="CB304" s="39"/>
      <c r="CC304" s="39"/>
      <c r="CD304" s="39"/>
      <c r="CE304" s="63">
        <f t="shared" si="21"/>
        <v>0</v>
      </c>
      <c r="CF304" s="63">
        <f t="shared" si="22"/>
        <v>0</v>
      </c>
      <c r="CG304" s="64">
        <f t="shared" si="23"/>
        <v>0</v>
      </c>
      <c r="CH304" s="66"/>
      <c r="CI304" s="115">
        <f t="shared" si="24"/>
        <v>0</v>
      </c>
    </row>
    <row r="305" spans="1:87">
      <c r="A305" s="20">
        <v>283</v>
      </c>
      <c r="B305" s="90"/>
      <c r="C305" s="76"/>
      <c r="D305" s="70"/>
      <c r="E305" s="33"/>
      <c r="F305" s="36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7"/>
      <c r="Y305" s="37"/>
      <c r="Z305" s="37"/>
      <c r="AA305" s="37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40">
        <f t="shared" si="20"/>
        <v>0</v>
      </c>
      <c r="AO305" s="38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  <c r="BW305" s="39"/>
      <c r="BX305" s="39"/>
      <c r="BY305" s="39"/>
      <c r="BZ305" s="39"/>
      <c r="CA305" s="39"/>
      <c r="CB305" s="39"/>
      <c r="CC305" s="39"/>
      <c r="CD305" s="39"/>
      <c r="CE305" s="63">
        <f t="shared" si="21"/>
        <v>0</v>
      </c>
      <c r="CF305" s="63">
        <f t="shared" si="22"/>
        <v>0</v>
      </c>
      <c r="CG305" s="64">
        <f t="shared" si="23"/>
        <v>0</v>
      </c>
      <c r="CH305" s="66"/>
      <c r="CI305" s="115">
        <f t="shared" si="24"/>
        <v>0</v>
      </c>
    </row>
    <row r="306" spans="1:87">
      <c r="A306" s="20">
        <v>284</v>
      </c>
      <c r="B306" s="90"/>
      <c r="C306" s="76"/>
      <c r="D306" s="70"/>
      <c r="E306" s="33"/>
      <c r="F306" s="36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7"/>
      <c r="Y306" s="37"/>
      <c r="Z306" s="37"/>
      <c r="AA306" s="37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40">
        <f t="shared" si="20"/>
        <v>0</v>
      </c>
      <c r="AO306" s="38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9"/>
      <c r="BD306" s="39"/>
      <c r="BE306" s="39"/>
      <c r="BF306" s="39"/>
      <c r="BG306" s="39"/>
      <c r="BH306" s="39"/>
      <c r="BI306" s="39"/>
      <c r="BJ306" s="39"/>
      <c r="BK306" s="39"/>
      <c r="BL306" s="39"/>
      <c r="BM306" s="39"/>
      <c r="BN306" s="39"/>
      <c r="BO306" s="39"/>
      <c r="BP306" s="39"/>
      <c r="BQ306" s="39"/>
      <c r="BR306" s="39"/>
      <c r="BS306" s="39"/>
      <c r="BT306" s="39"/>
      <c r="BU306" s="39"/>
      <c r="BV306" s="39"/>
      <c r="BW306" s="39"/>
      <c r="BX306" s="39"/>
      <c r="BY306" s="39"/>
      <c r="BZ306" s="39"/>
      <c r="CA306" s="39"/>
      <c r="CB306" s="39"/>
      <c r="CC306" s="39"/>
      <c r="CD306" s="39"/>
      <c r="CE306" s="63">
        <f t="shared" si="21"/>
        <v>0</v>
      </c>
      <c r="CF306" s="63">
        <f t="shared" si="22"/>
        <v>0</v>
      </c>
      <c r="CG306" s="64">
        <f t="shared" si="23"/>
        <v>0</v>
      </c>
      <c r="CH306" s="66"/>
      <c r="CI306" s="115">
        <f t="shared" si="24"/>
        <v>0</v>
      </c>
    </row>
    <row r="307" spans="1:87">
      <c r="A307" s="20">
        <v>285</v>
      </c>
      <c r="B307" s="90"/>
      <c r="C307" s="76"/>
      <c r="D307" s="70"/>
      <c r="E307" s="33"/>
      <c r="F307" s="36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7"/>
      <c r="Y307" s="37"/>
      <c r="Z307" s="37"/>
      <c r="AA307" s="37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40">
        <f t="shared" si="20"/>
        <v>0</v>
      </c>
      <c r="AO307" s="38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  <c r="BW307" s="39"/>
      <c r="BX307" s="39"/>
      <c r="BY307" s="39"/>
      <c r="BZ307" s="39"/>
      <c r="CA307" s="39"/>
      <c r="CB307" s="39"/>
      <c r="CC307" s="39"/>
      <c r="CD307" s="39"/>
      <c r="CE307" s="63">
        <f t="shared" si="21"/>
        <v>0</v>
      </c>
      <c r="CF307" s="63">
        <f t="shared" si="22"/>
        <v>0</v>
      </c>
      <c r="CG307" s="64">
        <f t="shared" si="23"/>
        <v>0</v>
      </c>
      <c r="CH307" s="66"/>
      <c r="CI307" s="115">
        <f t="shared" si="24"/>
        <v>0</v>
      </c>
    </row>
    <row r="308" spans="1:87">
      <c r="A308" s="20">
        <v>286</v>
      </c>
      <c r="B308" s="90"/>
      <c r="C308" s="76"/>
      <c r="D308" s="70"/>
      <c r="E308" s="33"/>
      <c r="F308" s="36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7"/>
      <c r="Y308" s="37"/>
      <c r="Z308" s="37"/>
      <c r="AA308" s="37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40">
        <f t="shared" si="20"/>
        <v>0</v>
      </c>
      <c r="AO308" s="38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  <c r="BW308" s="39"/>
      <c r="BX308" s="39"/>
      <c r="BY308" s="39"/>
      <c r="BZ308" s="39"/>
      <c r="CA308" s="39"/>
      <c r="CB308" s="39"/>
      <c r="CC308" s="39"/>
      <c r="CD308" s="39"/>
      <c r="CE308" s="63">
        <f t="shared" si="21"/>
        <v>0</v>
      </c>
      <c r="CF308" s="63">
        <f t="shared" si="22"/>
        <v>0</v>
      </c>
      <c r="CG308" s="64">
        <f t="shared" si="23"/>
        <v>0</v>
      </c>
      <c r="CH308" s="66"/>
      <c r="CI308" s="115">
        <f t="shared" si="24"/>
        <v>0</v>
      </c>
    </row>
    <row r="309" spans="1:87">
      <c r="A309" s="20">
        <v>287</v>
      </c>
      <c r="B309" s="90"/>
      <c r="C309" s="76"/>
      <c r="D309" s="70"/>
      <c r="E309" s="33"/>
      <c r="F309" s="36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7"/>
      <c r="Y309" s="37"/>
      <c r="Z309" s="37"/>
      <c r="AA309" s="37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40">
        <f t="shared" si="20"/>
        <v>0</v>
      </c>
      <c r="AO309" s="38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  <c r="BU309" s="39"/>
      <c r="BV309" s="39"/>
      <c r="BW309" s="39"/>
      <c r="BX309" s="39"/>
      <c r="BY309" s="39"/>
      <c r="BZ309" s="39"/>
      <c r="CA309" s="39"/>
      <c r="CB309" s="39"/>
      <c r="CC309" s="39"/>
      <c r="CD309" s="39"/>
      <c r="CE309" s="63">
        <f t="shared" si="21"/>
        <v>0</v>
      </c>
      <c r="CF309" s="63">
        <f t="shared" si="22"/>
        <v>0</v>
      </c>
      <c r="CG309" s="64">
        <f t="shared" si="23"/>
        <v>0</v>
      </c>
      <c r="CH309" s="66"/>
      <c r="CI309" s="115">
        <f t="shared" si="24"/>
        <v>0</v>
      </c>
    </row>
    <row r="310" spans="1:87">
      <c r="A310" s="20">
        <v>288</v>
      </c>
      <c r="B310" s="90"/>
      <c r="C310" s="76"/>
      <c r="D310" s="70"/>
      <c r="E310" s="33"/>
      <c r="F310" s="36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7"/>
      <c r="Y310" s="37"/>
      <c r="Z310" s="37"/>
      <c r="AA310" s="37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40">
        <f t="shared" si="20"/>
        <v>0</v>
      </c>
      <c r="AO310" s="38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  <c r="BU310" s="39"/>
      <c r="BV310" s="39"/>
      <c r="BW310" s="39"/>
      <c r="BX310" s="39"/>
      <c r="BY310" s="39"/>
      <c r="BZ310" s="39"/>
      <c r="CA310" s="39"/>
      <c r="CB310" s="39"/>
      <c r="CC310" s="39"/>
      <c r="CD310" s="39"/>
      <c r="CE310" s="63">
        <f t="shared" si="21"/>
        <v>0</v>
      </c>
      <c r="CF310" s="63">
        <f t="shared" si="22"/>
        <v>0</v>
      </c>
      <c r="CG310" s="64">
        <f t="shared" si="23"/>
        <v>0</v>
      </c>
      <c r="CH310" s="66"/>
      <c r="CI310" s="115">
        <f t="shared" si="24"/>
        <v>0</v>
      </c>
    </row>
    <row r="311" spans="1:87">
      <c r="A311" s="20">
        <v>289</v>
      </c>
      <c r="B311" s="90"/>
      <c r="C311" s="76"/>
      <c r="D311" s="70"/>
      <c r="E311" s="33"/>
      <c r="F311" s="36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7"/>
      <c r="Y311" s="37"/>
      <c r="Z311" s="37"/>
      <c r="AA311" s="37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40">
        <f t="shared" si="20"/>
        <v>0</v>
      </c>
      <c r="AO311" s="38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39"/>
      <c r="BX311" s="39"/>
      <c r="BY311" s="39"/>
      <c r="BZ311" s="39"/>
      <c r="CA311" s="39"/>
      <c r="CB311" s="39"/>
      <c r="CC311" s="39"/>
      <c r="CD311" s="39"/>
      <c r="CE311" s="63">
        <f t="shared" si="21"/>
        <v>0</v>
      </c>
      <c r="CF311" s="63">
        <f t="shared" si="22"/>
        <v>0</v>
      </c>
      <c r="CG311" s="64">
        <f t="shared" si="23"/>
        <v>0</v>
      </c>
      <c r="CH311" s="66"/>
      <c r="CI311" s="115">
        <f t="shared" si="24"/>
        <v>0</v>
      </c>
    </row>
    <row r="312" spans="1:87">
      <c r="A312" s="20">
        <v>290</v>
      </c>
      <c r="B312" s="90"/>
      <c r="C312" s="76"/>
      <c r="D312" s="70"/>
      <c r="E312" s="33"/>
      <c r="F312" s="36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7"/>
      <c r="Y312" s="37"/>
      <c r="Z312" s="37"/>
      <c r="AA312" s="37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40">
        <f t="shared" si="20"/>
        <v>0</v>
      </c>
      <c r="AO312" s="38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39"/>
      <c r="BD312" s="39"/>
      <c r="BE312" s="39"/>
      <c r="BF312" s="39"/>
      <c r="BG312" s="39"/>
      <c r="BH312" s="39"/>
      <c r="BI312" s="39"/>
      <c r="BJ312" s="39"/>
      <c r="BK312" s="39"/>
      <c r="BL312" s="39"/>
      <c r="BM312" s="39"/>
      <c r="BN312" s="39"/>
      <c r="BO312" s="39"/>
      <c r="BP312" s="39"/>
      <c r="BQ312" s="39"/>
      <c r="BR312" s="39"/>
      <c r="BS312" s="39"/>
      <c r="BT312" s="39"/>
      <c r="BU312" s="39"/>
      <c r="BV312" s="39"/>
      <c r="BW312" s="39"/>
      <c r="BX312" s="39"/>
      <c r="BY312" s="39"/>
      <c r="BZ312" s="39"/>
      <c r="CA312" s="39"/>
      <c r="CB312" s="39"/>
      <c r="CC312" s="39"/>
      <c r="CD312" s="39"/>
      <c r="CE312" s="63">
        <f t="shared" si="21"/>
        <v>0</v>
      </c>
      <c r="CF312" s="63">
        <f t="shared" si="22"/>
        <v>0</v>
      </c>
      <c r="CG312" s="64">
        <f t="shared" si="23"/>
        <v>0</v>
      </c>
      <c r="CH312" s="66"/>
      <c r="CI312" s="115">
        <f t="shared" si="24"/>
        <v>0</v>
      </c>
    </row>
    <row r="313" spans="1:87">
      <c r="A313" s="20">
        <v>291</v>
      </c>
      <c r="B313" s="90"/>
      <c r="C313" s="76"/>
      <c r="D313" s="70"/>
      <c r="E313" s="33"/>
      <c r="F313" s="36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7"/>
      <c r="Y313" s="37"/>
      <c r="Z313" s="37"/>
      <c r="AA313" s="37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40">
        <f t="shared" si="20"/>
        <v>0</v>
      </c>
      <c r="AO313" s="38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  <c r="BS313" s="39"/>
      <c r="BT313" s="39"/>
      <c r="BU313" s="39"/>
      <c r="BV313" s="39"/>
      <c r="BW313" s="39"/>
      <c r="BX313" s="39"/>
      <c r="BY313" s="39"/>
      <c r="BZ313" s="39"/>
      <c r="CA313" s="39"/>
      <c r="CB313" s="39"/>
      <c r="CC313" s="39"/>
      <c r="CD313" s="39"/>
      <c r="CE313" s="63">
        <f t="shared" si="21"/>
        <v>0</v>
      </c>
      <c r="CF313" s="63">
        <f t="shared" si="22"/>
        <v>0</v>
      </c>
      <c r="CG313" s="64">
        <f t="shared" si="23"/>
        <v>0</v>
      </c>
      <c r="CH313" s="66"/>
      <c r="CI313" s="115">
        <f t="shared" si="24"/>
        <v>0</v>
      </c>
    </row>
    <row r="314" spans="1:87">
      <c r="A314" s="20">
        <v>292</v>
      </c>
      <c r="B314" s="90"/>
      <c r="C314" s="76"/>
      <c r="D314" s="70"/>
      <c r="E314" s="33"/>
      <c r="F314" s="36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7"/>
      <c r="Y314" s="37"/>
      <c r="Z314" s="37"/>
      <c r="AA314" s="37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40">
        <f t="shared" si="20"/>
        <v>0</v>
      </c>
      <c r="AO314" s="38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  <c r="BW314" s="39"/>
      <c r="BX314" s="39"/>
      <c r="BY314" s="39"/>
      <c r="BZ314" s="39"/>
      <c r="CA314" s="39"/>
      <c r="CB314" s="39"/>
      <c r="CC314" s="39"/>
      <c r="CD314" s="39"/>
      <c r="CE314" s="63">
        <f t="shared" si="21"/>
        <v>0</v>
      </c>
      <c r="CF314" s="63">
        <f t="shared" si="22"/>
        <v>0</v>
      </c>
      <c r="CG314" s="64">
        <f t="shared" si="23"/>
        <v>0</v>
      </c>
      <c r="CH314" s="66"/>
      <c r="CI314" s="115">
        <f t="shared" si="24"/>
        <v>0</v>
      </c>
    </row>
    <row r="315" spans="1:87">
      <c r="A315" s="20">
        <v>293</v>
      </c>
      <c r="B315" s="90"/>
      <c r="C315" s="76"/>
      <c r="D315" s="70"/>
      <c r="E315" s="33"/>
      <c r="F315" s="36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7"/>
      <c r="Y315" s="37"/>
      <c r="Z315" s="37"/>
      <c r="AA315" s="37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40">
        <f t="shared" si="20"/>
        <v>0</v>
      </c>
      <c r="AO315" s="38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  <c r="BK315" s="39"/>
      <c r="BL315" s="39"/>
      <c r="BM315" s="39"/>
      <c r="BN315" s="39"/>
      <c r="BO315" s="39"/>
      <c r="BP315" s="39"/>
      <c r="BQ315" s="39"/>
      <c r="BR315" s="39"/>
      <c r="BS315" s="39"/>
      <c r="BT315" s="39"/>
      <c r="BU315" s="39"/>
      <c r="BV315" s="39"/>
      <c r="BW315" s="39"/>
      <c r="BX315" s="39"/>
      <c r="BY315" s="39"/>
      <c r="BZ315" s="39"/>
      <c r="CA315" s="39"/>
      <c r="CB315" s="39"/>
      <c r="CC315" s="39"/>
      <c r="CD315" s="39"/>
      <c r="CE315" s="63">
        <f t="shared" si="21"/>
        <v>0</v>
      </c>
      <c r="CF315" s="63">
        <f t="shared" si="22"/>
        <v>0</v>
      </c>
      <c r="CG315" s="64">
        <f t="shared" si="23"/>
        <v>0</v>
      </c>
      <c r="CH315" s="66"/>
      <c r="CI315" s="115">
        <f t="shared" si="24"/>
        <v>0</v>
      </c>
    </row>
    <row r="316" spans="1:87">
      <c r="A316" s="20">
        <v>294</v>
      </c>
      <c r="B316" s="90"/>
      <c r="C316" s="76"/>
      <c r="D316" s="70"/>
      <c r="E316" s="33"/>
      <c r="F316" s="36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7"/>
      <c r="Y316" s="37"/>
      <c r="Z316" s="37"/>
      <c r="AA316" s="37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40">
        <f t="shared" si="20"/>
        <v>0</v>
      </c>
      <c r="AO316" s="38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  <c r="BC316" s="39"/>
      <c r="BD316" s="39"/>
      <c r="BE316" s="39"/>
      <c r="BF316" s="39"/>
      <c r="BG316" s="39"/>
      <c r="BH316" s="3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  <c r="BU316" s="39"/>
      <c r="BV316" s="39"/>
      <c r="BW316" s="39"/>
      <c r="BX316" s="39"/>
      <c r="BY316" s="39"/>
      <c r="BZ316" s="39"/>
      <c r="CA316" s="39"/>
      <c r="CB316" s="39"/>
      <c r="CC316" s="39"/>
      <c r="CD316" s="39"/>
      <c r="CE316" s="63">
        <f t="shared" si="21"/>
        <v>0</v>
      </c>
      <c r="CF316" s="63">
        <f t="shared" si="22"/>
        <v>0</v>
      </c>
      <c r="CG316" s="64">
        <f t="shared" si="23"/>
        <v>0</v>
      </c>
      <c r="CH316" s="66"/>
      <c r="CI316" s="115">
        <f t="shared" si="24"/>
        <v>0</v>
      </c>
    </row>
    <row r="317" spans="1:87">
      <c r="A317" s="20">
        <v>295</v>
      </c>
      <c r="B317" s="90"/>
      <c r="C317" s="76"/>
      <c r="D317" s="70"/>
      <c r="E317" s="33"/>
      <c r="F317" s="36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7"/>
      <c r="Y317" s="37"/>
      <c r="Z317" s="37"/>
      <c r="AA317" s="37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40">
        <f t="shared" si="20"/>
        <v>0</v>
      </c>
      <c r="AO317" s="38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  <c r="BW317" s="39"/>
      <c r="BX317" s="39"/>
      <c r="BY317" s="39"/>
      <c r="BZ317" s="39"/>
      <c r="CA317" s="39"/>
      <c r="CB317" s="39"/>
      <c r="CC317" s="39"/>
      <c r="CD317" s="39"/>
      <c r="CE317" s="63">
        <f t="shared" si="21"/>
        <v>0</v>
      </c>
      <c r="CF317" s="63">
        <f t="shared" si="22"/>
        <v>0</v>
      </c>
      <c r="CG317" s="64">
        <f t="shared" si="23"/>
        <v>0</v>
      </c>
      <c r="CH317" s="66"/>
      <c r="CI317" s="115">
        <f t="shared" si="24"/>
        <v>0</v>
      </c>
    </row>
    <row r="318" spans="1:87">
      <c r="A318" s="20">
        <v>296</v>
      </c>
      <c r="B318" s="90"/>
      <c r="C318" s="76"/>
      <c r="D318" s="70"/>
      <c r="E318" s="33"/>
      <c r="F318" s="36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7"/>
      <c r="Y318" s="37"/>
      <c r="Z318" s="37"/>
      <c r="AA318" s="37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40">
        <f t="shared" si="20"/>
        <v>0</v>
      </c>
      <c r="AO318" s="38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39"/>
      <c r="BD318" s="39"/>
      <c r="BE318" s="39"/>
      <c r="BF318" s="39"/>
      <c r="BG318" s="39"/>
      <c r="BH318" s="39"/>
      <c r="BI318" s="39"/>
      <c r="BJ318" s="39"/>
      <c r="BK318" s="39"/>
      <c r="BL318" s="39"/>
      <c r="BM318" s="39"/>
      <c r="BN318" s="39"/>
      <c r="BO318" s="39"/>
      <c r="BP318" s="39"/>
      <c r="BQ318" s="39"/>
      <c r="BR318" s="39"/>
      <c r="BS318" s="39"/>
      <c r="BT318" s="39"/>
      <c r="BU318" s="39"/>
      <c r="BV318" s="39"/>
      <c r="BW318" s="39"/>
      <c r="BX318" s="39"/>
      <c r="BY318" s="39"/>
      <c r="BZ318" s="39"/>
      <c r="CA318" s="39"/>
      <c r="CB318" s="39"/>
      <c r="CC318" s="39"/>
      <c r="CD318" s="39"/>
      <c r="CE318" s="63">
        <f t="shared" si="21"/>
        <v>0</v>
      </c>
      <c r="CF318" s="63">
        <f t="shared" si="22"/>
        <v>0</v>
      </c>
      <c r="CG318" s="64">
        <f t="shared" si="23"/>
        <v>0</v>
      </c>
      <c r="CH318" s="66"/>
      <c r="CI318" s="115">
        <f t="shared" si="24"/>
        <v>0</v>
      </c>
    </row>
    <row r="319" spans="1:87">
      <c r="A319" s="20">
        <v>297</v>
      </c>
      <c r="B319" s="90"/>
      <c r="C319" s="76"/>
      <c r="D319" s="70"/>
      <c r="E319" s="33"/>
      <c r="F319" s="36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7"/>
      <c r="Y319" s="37"/>
      <c r="Z319" s="37"/>
      <c r="AA319" s="37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40">
        <f t="shared" si="20"/>
        <v>0</v>
      </c>
      <c r="AO319" s="38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  <c r="BS319" s="39"/>
      <c r="BT319" s="39"/>
      <c r="BU319" s="39"/>
      <c r="BV319" s="39"/>
      <c r="BW319" s="39"/>
      <c r="BX319" s="39"/>
      <c r="BY319" s="39"/>
      <c r="BZ319" s="39"/>
      <c r="CA319" s="39"/>
      <c r="CB319" s="39"/>
      <c r="CC319" s="39"/>
      <c r="CD319" s="39"/>
      <c r="CE319" s="63">
        <f t="shared" si="21"/>
        <v>0</v>
      </c>
      <c r="CF319" s="63">
        <f t="shared" si="22"/>
        <v>0</v>
      </c>
      <c r="CG319" s="64">
        <f t="shared" si="23"/>
        <v>0</v>
      </c>
      <c r="CH319" s="66"/>
      <c r="CI319" s="115">
        <f t="shared" si="24"/>
        <v>0</v>
      </c>
    </row>
    <row r="320" spans="1:87">
      <c r="A320" s="47">
        <v>298</v>
      </c>
      <c r="B320" s="90"/>
      <c r="C320" s="76"/>
      <c r="D320" s="70"/>
      <c r="E320" s="33"/>
      <c r="F320" s="36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7"/>
      <c r="Y320" s="37"/>
      <c r="Z320" s="37"/>
      <c r="AA320" s="37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40">
        <f t="shared" si="20"/>
        <v>0</v>
      </c>
      <c r="AO320" s="38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  <c r="BW320" s="39"/>
      <c r="BX320" s="39"/>
      <c r="BY320" s="39"/>
      <c r="BZ320" s="39"/>
      <c r="CA320" s="39"/>
      <c r="CB320" s="39"/>
      <c r="CC320" s="39"/>
      <c r="CD320" s="39"/>
      <c r="CE320" s="63">
        <f t="shared" si="21"/>
        <v>0</v>
      </c>
      <c r="CF320" s="63">
        <f t="shared" si="22"/>
        <v>0</v>
      </c>
      <c r="CG320" s="64">
        <f t="shared" si="23"/>
        <v>0</v>
      </c>
      <c r="CH320" s="66"/>
      <c r="CI320" s="115">
        <f t="shared" si="24"/>
        <v>0</v>
      </c>
    </row>
    <row r="321" spans="1:87">
      <c r="A321" s="48">
        <v>299</v>
      </c>
      <c r="B321" s="91"/>
      <c r="C321" s="77"/>
      <c r="D321" s="71"/>
      <c r="E321" s="34"/>
      <c r="F321" s="42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4"/>
      <c r="Y321" s="44"/>
      <c r="Z321" s="44"/>
      <c r="AA321" s="44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40">
        <f t="shared" si="20"/>
        <v>0</v>
      </c>
      <c r="AO321" s="45"/>
      <c r="AP321" s="46"/>
      <c r="AQ321" s="46"/>
      <c r="AR321" s="46"/>
      <c r="AS321" s="46"/>
      <c r="AT321" s="46"/>
      <c r="AU321" s="46"/>
      <c r="AV321" s="46"/>
      <c r="AW321" s="46"/>
      <c r="AX321" s="46"/>
      <c r="AY321" s="46"/>
      <c r="AZ321" s="46"/>
      <c r="BA321" s="46"/>
      <c r="BB321" s="46"/>
      <c r="BC321" s="46"/>
      <c r="BD321" s="46"/>
      <c r="BE321" s="46"/>
      <c r="BF321" s="46"/>
      <c r="BG321" s="46"/>
      <c r="BH321" s="46"/>
      <c r="BI321" s="46"/>
      <c r="BJ321" s="46"/>
      <c r="BK321" s="46"/>
      <c r="BL321" s="46"/>
      <c r="BM321" s="46"/>
      <c r="BN321" s="46"/>
      <c r="BO321" s="46"/>
      <c r="BP321" s="46"/>
      <c r="BQ321" s="46"/>
      <c r="BR321" s="46"/>
      <c r="BS321" s="46"/>
      <c r="BT321" s="46"/>
      <c r="BU321" s="46"/>
      <c r="BV321" s="46"/>
      <c r="BW321" s="46"/>
      <c r="BX321" s="46"/>
      <c r="BY321" s="46"/>
      <c r="BZ321" s="46"/>
      <c r="CA321" s="46"/>
      <c r="CB321" s="46"/>
      <c r="CC321" s="46"/>
      <c r="CD321" s="46"/>
      <c r="CE321" s="63">
        <f t="shared" si="21"/>
        <v>0</v>
      </c>
      <c r="CF321" s="63">
        <f t="shared" si="22"/>
        <v>0</v>
      </c>
      <c r="CG321" s="64">
        <f t="shared" si="23"/>
        <v>0</v>
      </c>
      <c r="CH321" s="67"/>
      <c r="CI321" s="115">
        <f t="shared" si="24"/>
        <v>0</v>
      </c>
    </row>
    <row r="322" spans="1:87" ht="15.75" thickBot="1">
      <c r="A322" s="79">
        <v>300</v>
      </c>
      <c r="B322" s="92"/>
      <c r="C322" s="78"/>
      <c r="D322" s="72"/>
      <c r="E322" s="49"/>
      <c r="F322" s="50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2"/>
      <c r="Y322" s="52"/>
      <c r="Z322" s="52"/>
      <c r="AA322" s="52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  <c r="AN322" s="40">
        <f t="shared" si="20"/>
        <v>0</v>
      </c>
      <c r="AO322" s="53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4"/>
      <c r="BE322" s="54"/>
      <c r="BF322" s="54"/>
      <c r="BG322" s="54"/>
      <c r="BH322" s="54"/>
      <c r="BI322" s="54"/>
      <c r="BJ322" s="54"/>
      <c r="BK322" s="54"/>
      <c r="BL322" s="54"/>
      <c r="BM322" s="54"/>
      <c r="BN322" s="54"/>
      <c r="BO322" s="54"/>
      <c r="BP322" s="54"/>
      <c r="BQ322" s="54"/>
      <c r="BR322" s="54"/>
      <c r="BS322" s="54"/>
      <c r="BT322" s="54"/>
      <c r="BU322" s="54"/>
      <c r="BV322" s="54"/>
      <c r="BW322" s="54"/>
      <c r="BX322" s="54"/>
      <c r="BY322" s="54"/>
      <c r="BZ322" s="54"/>
      <c r="CA322" s="54"/>
      <c r="CB322" s="54"/>
      <c r="CC322" s="54"/>
      <c r="CD322" s="54"/>
      <c r="CE322" s="63">
        <f t="shared" si="21"/>
        <v>0</v>
      </c>
      <c r="CF322" s="63">
        <f t="shared" si="22"/>
        <v>0</v>
      </c>
      <c r="CG322" s="64">
        <f t="shared" si="23"/>
        <v>0</v>
      </c>
      <c r="CH322" s="68"/>
      <c r="CI322" s="115">
        <f t="shared" si="24"/>
        <v>0</v>
      </c>
    </row>
    <row r="323" spans="1:87"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</row>
    <row r="324" spans="1:87"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</row>
    <row r="325" spans="1:87"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</row>
    <row r="326" spans="1:87"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</row>
    <row r="327" spans="1:87"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</row>
    <row r="328" spans="1:87"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</row>
    <row r="329" spans="1:87"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</row>
    <row r="330" spans="1:87"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</row>
    <row r="331" spans="1:87"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</row>
    <row r="332" spans="1:87"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</row>
    <row r="333" spans="1:87"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</row>
    <row r="334" spans="1:87"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</row>
    <row r="335" spans="1:87"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</row>
    <row r="336" spans="1:87"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</row>
    <row r="337" s="13" customFormat="1"/>
    <row r="338" s="13" customFormat="1"/>
    <row r="339" s="13" customFormat="1"/>
    <row r="340" s="13" customFormat="1"/>
    <row r="341" s="13" customFormat="1"/>
    <row r="342" s="13" customFormat="1"/>
    <row r="343" s="13" customFormat="1"/>
    <row r="344" s="13" customFormat="1"/>
    <row r="345" s="13" customFormat="1"/>
    <row r="346" s="13" customFormat="1"/>
    <row r="347" s="13" customFormat="1"/>
    <row r="348" s="13" customFormat="1"/>
    <row r="349" s="13" customFormat="1"/>
    <row r="350" s="13" customFormat="1"/>
    <row r="351" s="13" customFormat="1"/>
    <row r="352" s="13" customFormat="1"/>
    <row r="353" s="13" customFormat="1"/>
    <row r="354" s="13" customFormat="1"/>
    <row r="355" s="13" customFormat="1"/>
    <row r="356" s="13" customFormat="1"/>
    <row r="357" s="13" customFormat="1"/>
    <row r="358" s="13" customFormat="1"/>
    <row r="359" s="13" customFormat="1"/>
    <row r="360" s="13" customFormat="1"/>
    <row r="361" s="13" customFormat="1"/>
    <row r="362" s="13" customFormat="1"/>
    <row r="363" s="13" customFormat="1"/>
    <row r="364" s="13" customFormat="1"/>
    <row r="365" s="13" customFormat="1"/>
    <row r="366" s="13" customFormat="1"/>
    <row r="367" s="13" customFormat="1"/>
    <row r="368" s="13" customFormat="1"/>
    <row r="369" s="13" customFormat="1"/>
    <row r="370" s="13" customFormat="1"/>
    <row r="371" s="13" customFormat="1"/>
    <row r="372" s="13" customFormat="1"/>
    <row r="373" s="13" customFormat="1"/>
    <row r="374" s="13" customFormat="1"/>
    <row r="375" s="13" customFormat="1"/>
    <row r="376" s="13" customFormat="1"/>
    <row r="377" s="13" customFormat="1"/>
    <row r="378" s="13" customFormat="1"/>
    <row r="379" s="13" customFormat="1"/>
    <row r="380" s="13" customFormat="1"/>
    <row r="381" s="13" customFormat="1"/>
    <row r="382" s="13" customFormat="1"/>
    <row r="383" s="13" customFormat="1"/>
    <row r="384" s="13" customFormat="1"/>
    <row r="385" s="13" customFormat="1"/>
    <row r="386" s="13" customFormat="1"/>
    <row r="387" s="13" customFormat="1"/>
    <row r="388" s="13" customFormat="1"/>
    <row r="389" s="13" customFormat="1"/>
    <row r="390" s="13" customFormat="1"/>
    <row r="391" s="13" customFormat="1"/>
    <row r="392" s="13" customFormat="1"/>
    <row r="393" s="13" customFormat="1"/>
    <row r="394" s="13" customFormat="1"/>
    <row r="395" s="13" customFormat="1"/>
    <row r="396" s="13" customFormat="1"/>
    <row r="397" s="13" customFormat="1"/>
    <row r="398" s="13" customFormat="1"/>
    <row r="399" s="13" customFormat="1"/>
    <row r="400" s="13" customFormat="1"/>
    <row r="401" s="13" customFormat="1"/>
    <row r="402" s="13" customFormat="1"/>
    <row r="403" s="13" customFormat="1"/>
    <row r="404" s="13" customFormat="1"/>
    <row r="405" s="13" customFormat="1"/>
    <row r="406" s="13" customFormat="1"/>
    <row r="407" s="13" customFormat="1"/>
    <row r="408" s="13" customFormat="1"/>
    <row r="409" s="13" customFormat="1"/>
    <row r="410" s="13" customFormat="1"/>
    <row r="411" s="13" customFormat="1"/>
    <row r="412" s="13" customFormat="1"/>
    <row r="413" s="13" customFormat="1"/>
    <row r="414" s="13" customFormat="1"/>
    <row r="415" s="13" customFormat="1"/>
    <row r="416" s="13" customFormat="1"/>
    <row r="417" s="13" customFormat="1"/>
    <row r="418" s="13" customFormat="1"/>
    <row r="419" s="13" customFormat="1"/>
    <row r="420" s="13" customFormat="1"/>
    <row r="421" s="13" customFormat="1"/>
    <row r="422" s="13" customFormat="1"/>
    <row r="423" s="13" customFormat="1"/>
    <row r="424" s="13" customFormat="1"/>
    <row r="425" s="13" customFormat="1"/>
    <row r="426" s="13" customFormat="1"/>
    <row r="427" s="13" customFormat="1"/>
    <row r="428" s="13" customFormat="1"/>
    <row r="429" s="13" customFormat="1"/>
    <row r="430" s="13" customFormat="1"/>
    <row r="431" s="13" customFormat="1"/>
    <row r="432" s="13" customFormat="1"/>
    <row r="433" s="13" customFormat="1"/>
    <row r="434" s="13" customFormat="1"/>
    <row r="435" s="13" customFormat="1"/>
    <row r="436" s="13" customFormat="1"/>
    <row r="437" s="13" customFormat="1"/>
    <row r="438" s="13" customFormat="1"/>
    <row r="439" s="13" customFormat="1"/>
    <row r="440" s="13" customFormat="1"/>
    <row r="441" s="13" customFormat="1"/>
    <row r="442" s="13" customFormat="1"/>
    <row r="443" s="13" customFormat="1"/>
    <row r="444" s="13" customFormat="1"/>
    <row r="445" s="13" customFormat="1"/>
    <row r="446" s="13" customFormat="1"/>
    <row r="447" s="13" customFormat="1"/>
    <row r="448" s="13" customFormat="1"/>
    <row r="449" s="13" customFormat="1"/>
    <row r="450" s="13" customFormat="1"/>
    <row r="451" s="13" customFormat="1"/>
    <row r="452" s="13" customFormat="1"/>
    <row r="453" s="13" customFormat="1"/>
    <row r="454" s="13" customFormat="1"/>
    <row r="455" s="13" customFormat="1"/>
    <row r="456" s="13" customFormat="1"/>
    <row r="457" s="13" customFormat="1"/>
    <row r="458" s="13" customFormat="1"/>
    <row r="459" s="13" customFormat="1"/>
    <row r="460" s="13" customFormat="1"/>
    <row r="461" s="13" customFormat="1"/>
    <row r="462" s="13" customFormat="1"/>
    <row r="463" s="13" customFormat="1"/>
    <row r="464" s="13" customFormat="1"/>
    <row r="465" s="13" customFormat="1"/>
    <row r="466" s="13" customFormat="1"/>
    <row r="467" s="13" customFormat="1"/>
    <row r="468" s="13" customFormat="1"/>
    <row r="469" s="13" customFormat="1"/>
    <row r="470" s="13" customFormat="1"/>
    <row r="471" s="13" customFormat="1"/>
    <row r="472" s="13" customFormat="1"/>
    <row r="473" s="13" customFormat="1"/>
    <row r="474" s="13" customFormat="1"/>
    <row r="475" s="13" customFormat="1"/>
    <row r="476" s="13" customFormat="1"/>
    <row r="477" s="13" customFormat="1"/>
    <row r="478" s="13" customFormat="1"/>
    <row r="479" s="13" customFormat="1"/>
    <row r="480" s="13" customFormat="1"/>
    <row r="481" s="13" customFormat="1"/>
    <row r="482" s="13" customFormat="1"/>
    <row r="483" s="13" customFormat="1"/>
    <row r="484" s="13" customFormat="1"/>
    <row r="485" s="13" customFormat="1"/>
    <row r="486" s="13" customFormat="1"/>
    <row r="487" s="13" customFormat="1"/>
    <row r="488" s="13" customFormat="1"/>
    <row r="489" s="13" customFormat="1"/>
    <row r="490" s="13" customFormat="1"/>
    <row r="491" s="13" customFormat="1"/>
    <row r="492" s="13" customFormat="1"/>
    <row r="493" s="13" customFormat="1"/>
    <row r="494" s="13" customFormat="1"/>
    <row r="495" s="13" customFormat="1"/>
    <row r="496" s="13" customFormat="1"/>
    <row r="497" s="13" customFormat="1"/>
    <row r="498" s="13" customFormat="1"/>
    <row r="499" s="13" customFormat="1"/>
    <row r="500" s="13" customFormat="1"/>
    <row r="501" s="13" customFormat="1"/>
    <row r="502" s="13" customFormat="1"/>
    <row r="503" s="13" customFormat="1"/>
    <row r="504" s="13" customFormat="1"/>
    <row r="505" s="13" customFormat="1"/>
    <row r="506" s="13" customFormat="1"/>
    <row r="507" s="13" customFormat="1"/>
    <row r="508" s="13" customFormat="1"/>
    <row r="509" s="13" customFormat="1"/>
    <row r="510" s="13" customFormat="1"/>
    <row r="511" s="13" customFormat="1"/>
    <row r="512" s="13" customFormat="1"/>
    <row r="513" s="13" customFormat="1"/>
    <row r="514" s="13" customFormat="1"/>
    <row r="515" s="13" customFormat="1"/>
    <row r="516" s="13" customFormat="1"/>
    <row r="517" s="13" customFormat="1"/>
    <row r="518" s="13" customFormat="1"/>
    <row r="519" s="13" customFormat="1"/>
    <row r="520" s="13" customFormat="1"/>
    <row r="521" s="13" customFormat="1"/>
    <row r="522" s="13" customFormat="1"/>
    <row r="523" s="13" customFormat="1"/>
    <row r="524" s="13" customFormat="1"/>
    <row r="525" s="13" customFormat="1"/>
    <row r="526" s="13" customFormat="1"/>
    <row r="527" s="13" customFormat="1"/>
    <row r="528" s="13" customFormat="1"/>
    <row r="529" s="13" customFormat="1"/>
    <row r="530" s="13" customFormat="1"/>
    <row r="531" s="13" customFormat="1"/>
    <row r="532" s="13" customFormat="1"/>
    <row r="533" s="13" customFormat="1"/>
    <row r="534" s="13" customFormat="1"/>
    <row r="535" s="13" customFormat="1"/>
    <row r="536" s="13" customFormat="1"/>
    <row r="537" s="13" customFormat="1"/>
    <row r="538" s="13" customFormat="1"/>
    <row r="539" s="13" customFormat="1"/>
    <row r="540" s="13" customFormat="1"/>
    <row r="541" s="13" customFormat="1"/>
    <row r="542" s="13" customFormat="1"/>
    <row r="543" s="13" customFormat="1"/>
    <row r="544" s="13" customFormat="1"/>
    <row r="545" s="13" customFormat="1"/>
    <row r="546" s="13" customFormat="1"/>
    <row r="547" s="13" customFormat="1"/>
    <row r="548" s="13" customFormat="1"/>
    <row r="549" s="13" customFormat="1"/>
    <row r="550" s="13" customFormat="1"/>
    <row r="551" s="13" customFormat="1"/>
    <row r="552" s="13" customFormat="1"/>
    <row r="553" s="13" customFormat="1"/>
    <row r="554" s="13" customFormat="1"/>
    <row r="555" s="13" customFormat="1"/>
    <row r="556" s="13" customFormat="1"/>
    <row r="557" s="13" customFormat="1"/>
    <row r="558" s="13" customFormat="1"/>
    <row r="559" s="13" customFormat="1"/>
    <row r="560" s="13" customFormat="1"/>
    <row r="561" s="13" customFormat="1"/>
    <row r="562" s="13" customFormat="1"/>
    <row r="563" s="13" customFormat="1"/>
    <row r="564" s="13" customFormat="1"/>
    <row r="565" s="13" customFormat="1"/>
    <row r="566" s="13" customFormat="1"/>
    <row r="567" s="13" customFormat="1"/>
    <row r="568" s="13" customFormat="1"/>
    <row r="569" s="13" customFormat="1"/>
    <row r="570" s="13" customFormat="1"/>
    <row r="571" s="13" customFormat="1"/>
    <row r="572" s="13" customFormat="1"/>
    <row r="573" s="13" customFormat="1"/>
    <row r="574" s="13" customFormat="1"/>
    <row r="575" s="13" customFormat="1"/>
    <row r="576" s="13" customFormat="1"/>
    <row r="577" s="13" customFormat="1"/>
    <row r="578" s="13" customFormat="1"/>
    <row r="579" s="13" customFormat="1"/>
    <row r="580" s="13" customFormat="1"/>
    <row r="581" s="13" customFormat="1"/>
    <row r="582" s="13" customFormat="1"/>
    <row r="583" s="13" customFormat="1"/>
    <row r="584" s="13" customFormat="1"/>
    <row r="585" s="13" customFormat="1"/>
    <row r="586" s="13" customFormat="1"/>
    <row r="587" s="13" customFormat="1"/>
    <row r="588" s="13" customFormat="1"/>
    <row r="589" s="13" customFormat="1"/>
    <row r="590" s="13" customFormat="1"/>
    <row r="591" s="13" customFormat="1"/>
    <row r="592" s="13" customFormat="1"/>
    <row r="593" s="13" customFormat="1"/>
    <row r="594" s="13" customFormat="1"/>
    <row r="595" s="13" customFormat="1"/>
    <row r="596" s="13" customFormat="1"/>
    <row r="597" s="13" customFormat="1"/>
    <row r="598" s="13" customFormat="1"/>
    <row r="599" s="13" customFormat="1"/>
    <row r="600" s="13" customFormat="1"/>
    <row r="601" s="13" customFormat="1"/>
    <row r="602" s="13" customFormat="1"/>
    <row r="603" s="13" customFormat="1"/>
    <row r="604" s="13" customFormat="1"/>
    <row r="605" s="13" customFormat="1"/>
    <row r="606" s="13" customFormat="1"/>
    <row r="607" s="13" customFormat="1"/>
    <row r="608" s="13" customFormat="1"/>
    <row r="609" s="13" customFormat="1"/>
    <row r="610" s="13" customFormat="1"/>
    <row r="611" s="13" customFormat="1"/>
    <row r="612" s="13" customFormat="1"/>
    <row r="613" s="13" customFormat="1"/>
    <row r="614" s="13" customFormat="1"/>
    <row r="615" s="13" customFormat="1"/>
    <row r="616" s="13" customFormat="1"/>
    <row r="617" s="13" customFormat="1"/>
    <row r="618" s="13" customFormat="1"/>
    <row r="619" s="13" customFormat="1"/>
    <row r="620" s="13" customFormat="1"/>
    <row r="621" s="13" customFormat="1"/>
    <row r="622" s="13" customFormat="1"/>
    <row r="623" s="13" customFormat="1"/>
    <row r="624" s="13" customFormat="1"/>
    <row r="625" s="13" customFormat="1"/>
    <row r="626" s="13" customFormat="1"/>
    <row r="627" s="13" customFormat="1"/>
    <row r="628" s="13" customFormat="1"/>
    <row r="629" s="13" customFormat="1"/>
    <row r="630" s="13" customFormat="1"/>
    <row r="631" s="13" customFormat="1"/>
    <row r="632" s="13" customFormat="1"/>
    <row r="633" s="13" customFormat="1"/>
    <row r="634" s="13" customFormat="1"/>
    <row r="635" s="13" customFormat="1"/>
    <row r="636" s="13" customFormat="1"/>
    <row r="637" s="13" customFormat="1"/>
    <row r="638" s="13" customFormat="1"/>
    <row r="639" s="13" customFormat="1"/>
    <row r="640" s="13" customFormat="1"/>
    <row r="641" s="13" customFormat="1"/>
    <row r="642" s="13" customFormat="1"/>
    <row r="643" s="13" customFormat="1"/>
    <row r="644" s="13" customFormat="1"/>
    <row r="645" s="13" customFormat="1"/>
    <row r="646" s="13" customFormat="1"/>
    <row r="647" s="13" customFormat="1"/>
    <row r="648" s="13" customFormat="1"/>
    <row r="649" s="13" customFormat="1"/>
    <row r="650" s="13" customFormat="1"/>
    <row r="651" s="13" customFormat="1"/>
    <row r="652" s="13" customFormat="1"/>
    <row r="653" s="13" customFormat="1"/>
    <row r="654" s="13" customFormat="1"/>
    <row r="655" s="13" customFormat="1"/>
    <row r="656" s="13" customFormat="1"/>
    <row r="657" s="13" customFormat="1"/>
    <row r="658" s="13" customFormat="1"/>
    <row r="659" s="13" customFormat="1"/>
    <row r="660" s="13" customFormat="1"/>
    <row r="661" s="13" customFormat="1"/>
    <row r="662" s="13" customFormat="1"/>
    <row r="663" s="13" customFormat="1"/>
    <row r="664" s="13" customFormat="1"/>
    <row r="665" s="13" customFormat="1"/>
    <row r="666" s="13" customFormat="1"/>
    <row r="667" s="13" customFormat="1"/>
    <row r="668" s="13" customFormat="1"/>
    <row r="669" s="13" customFormat="1"/>
    <row r="670" s="13" customFormat="1"/>
    <row r="671" s="13" customFormat="1"/>
    <row r="672" s="13" customFormat="1"/>
    <row r="673" s="13" customFormat="1"/>
    <row r="674" s="13" customFormat="1"/>
    <row r="675" s="13" customFormat="1"/>
    <row r="676" s="13" customFormat="1"/>
    <row r="677" s="13" customFormat="1"/>
    <row r="678" s="13" customFormat="1"/>
    <row r="679" s="13" customFormat="1"/>
    <row r="680" s="13" customFormat="1"/>
    <row r="681" s="13" customFormat="1"/>
    <row r="682" s="13" customFormat="1"/>
    <row r="683" s="13" customFormat="1"/>
    <row r="684" s="13" customFormat="1"/>
    <row r="685" s="13" customFormat="1"/>
    <row r="686" s="13" customFormat="1"/>
    <row r="687" s="13" customFormat="1"/>
    <row r="688" s="13" customFormat="1"/>
    <row r="689" s="13" customFormat="1"/>
    <row r="690" s="13" customFormat="1"/>
    <row r="691" s="13" customFormat="1"/>
    <row r="692" s="13" customFormat="1"/>
    <row r="693" s="13" customFormat="1"/>
    <row r="694" s="13" customFormat="1"/>
    <row r="695" s="13" customFormat="1"/>
    <row r="696" s="13" customFormat="1"/>
    <row r="697" s="13" customFormat="1"/>
    <row r="698" s="13" customFormat="1"/>
    <row r="699" s="13" customFormat="1"/>
    <row r="700" s="13" customFormat="1"/>
    <row r="701" s="13" customFormat="1"/>
    <row r="702" s="13" customFormat="1"/>
    <row r="703" s="13" customFormat="1"/>
    <row r="704" s="13" customFormat="1"/>
    <row r="705" s="13" customFormat="1"/>
    <row r="706" s="13" customFormat="1"/>
    <row r="707" s="13" customFormat="1"/>
    <row r="708" s="13" customFormat="1"/>
    <row r="709" s="13" customFormat="1"/>
    <row r="710" s="13" customFormat="1"/>
    <row r="711" s="13" customFormat="1"/>
    <row r="712" s="13" customFormat="1"/>
    <row r="713" s="13" customFormat="1"/>
    <row r="714" s="13" customFormat="1"/>
    <row r="715" s="13" customFormat="1"/>
    <row r="716" s="13" customFormat="1"/>
    <row r="717" s="13" customFormat="1"/>
    <row r="718" s="13" customFormat="1"/>
    <row r="719" s="13" customFormat="1"/>
    <row r="720" s="13" customFormat="1"/>
    <row r="721" s="13" customFormat="1"/>
    <row r="722" s="13" customFormat="1"/>
    <row r="723" s="13" customFormat="1"/>
    <row r="724" s="13" customFormat="1"/>
    <row r="725" s="13" customFormat="1"/>
    <row r="726" s="13" customFormat="1"/>
    <row r="727" s="13" customFormat="1"/>
    <row r="728" s="13" customFormat="1"/>
    <row r="729" s="13" customFormat="1"/>
    <row r="730" s="13" customFormat="1"/>
    <row r="731" s="13" customFormat="1"/>
    <row r="732" s="13" customFormat="1"/>
    <row r="733" s="13" customFormat="1"/>
    <row r="734" s="13" customFormat="1"/>
    <row r="735" s="13" customFormat="1"/>
    <row r="736" s="13" customFormat="1"/>
    <row r="737" s="13" customFormat="1"/>
    <row r="738" s="13" customFormat="1"/>
    <row r="739" s="13" customFormat="1"/>
    <row r="740" s="13" customFormat="1"/>
    <row r="741" s="13" customFormat="1"/>
    <row r="742" s="13" customFormat="1"/>
    <row r="743" s="13" customFormat="1"/>
    <row r="744" s="13" customFormat="1"/>
    <row r="745" s="13" customFormat="1"/>
    <row r="746" s="13" customFormat="1"/>
    <row r="747" s="13" customFormat="1"/>
    <row r="748" s="13" customFormat="1"/>
    <row r="749" s="13" customFormat="1"/>
    <row r="750" s="13" customFormat="1"/>
    <row r="751" s="13" customFormat="1"/>
    <row r="752" s="13" customFormat="1"/>
    <row r="753" s="13" customFormat="1"/>
    <row r="754" s="13" customFormat="1"/>
    <row r="755" s="13" customFormat="1"/>
    <row r="756" s="13" customFormat="1"/>
    <row r="757" s="13" customFormat="1"/>
    <row r="758" s="13" customFormat="1"/>
    <row r="759" s="13" customFormat="1"/>
    <row r="760" s="13" customFormat="1"/>
    <row r="761" s="13" customFormat="1"/>
    <row r="762" s="13" customFormat="1"/>
    <row r="763" s="13" customFormat="1"/>
    <row r="764" s="13" customFormat="1"/>
    <row r="765" s="13" customFormat="1"/>
    <row r="766" s="13" customFormat="1"/>
    <row r="767" s="13" customFormat="1"/>
    <row r="768" s="13" customFormat="1"/>
    <row r="769" s="13" customFormat="1"/>
    <row r="770" s="13" customFormat="1"/>
    <row r="771" s="13" customFormat="1"/>
    <row r="772" s="13" customFormat="1"/>
    <row r="773" s="13" customFormat="1"/>
    <row r="774" s="13" customFormat="1"/>
    <row r="775" s="13" customFormat="1"/>
    <row r="776" s="13" customFormat="1"/>
    <row r="777" s="13" customFormat="1"/>
    <row r="778" s="13" customFormat="1"/>
    <row r="779" s="13" customFormat="1"/>
    <row r="780" s="13" customFormat="1"/>
    <row r="781" s="13" customFormat="1"/>
    <row r="782" s="13" customFormat="1"/>
    <row r="783" s="13" customFormat="1"/>
    <row r="784" s="13" customFormat="1"/>
    <row r="785" s="13" customFormat="1"/>
    <row r="786" s="13" customFormat="1"/>
    <row r="787" s="13" customFormat="1"/>
    <row r="788" s="13" customFormat="1"/>
    <row r="789" s="13" customFormat="1"/>
    <row r="790" s="13" customFormat="1"/>
    <row r="791" s="13" customFormat="1"/>
    <row r="792" s="13" customFormat="1"/>
    <row r="793" s="13" customFormat="1"/>
    <row r="794" s="13" customFormat="1"/>
    <row r="795" s="13" customFormat="1"/>
    <row r="796" s="13" customFormat="1"/>
    <row r="797" s="13" customFormat="1"/>
    <row r="798" s="13" customFormat="1"/>
    <row r="799" s="13" customFormat="1"/>
    <row r="800" s="13" customFormat="1"/>
    <row r="801" s="13" customFormat="1"/>
    <row r="802" s="13" customFormat="1"/>
    <row r="803" s="13" customFormat="1"/>
    <row r="804" s="13" customFormat="1"/>
    <row r="805" s="13" customFormat="1"/>
    <row r="806" s="13" customFormat="1"/>
    <row r="807" s="13" customFormat="1"/>
    <row r="808" s="13" customFormat="1"/>
    <row r="809" s="13" customFormat="1"/>
    <row r="810" s="13" customFormat="1"/>
    <row r="811" s="13" customFormat="1"/>
    <row r="812" s="13" customFormat="1"/>
    <row r="813" s="13" customFormat="1"/>
    <row r="814" s="13" customFormat="1"/>
    <row r="815" s="13" customFormat="1"/>
    <row r="816" s="13" customFormat="1"/>
    <row r="817" s="13" customFormat="1"/>
    <row r="818" s="13" customFormat="1"/>
    <row r="819" s="13" customFormat="1"/>
    <row r="820" s="13" customFormat="1"/>
    <row r="821" s="13" customFormat="1"/>
    <row r="822" s="13" customFormat="1"/>
    <row r="823" s="13" customFormat="1"/>
    <row r="824" s="13" customFormat="1"/>
    <row r="825" s="13" customFormat="1"/>
    <row r="826" s="13" customFormat="1"/>
    <row r="827" s="13" customFormat="1"/>
    <row r="828" s="13" customFormat="1"/>
    <row r="829" s="13" customFormat="1"/>
    <row r="830" s="13" customFormat="1"/>
    <row r="831" s="13" customFormat="1"/>
    <row r="832" s="13" customFormat="1"/>
    <row r="833" s="13" customFormat="1"/>
    <row r="834" s="13" customFormat="1"/>
    <row r="835" s="13" customFormat="1"/>
    <row r="836" s="13" customFormat="1"/>
    <row r="837" s="13" customFormat="1"/>
    <row r="838" s="13" customFormat="1"/>
    <row r="839" s="13" customFormat="1"/>
    <row r="840" s="13" customFormat="1"/>
    <row r="841" s="13" customFormat="1"/>
    <row r="842" s="13" customFormat="1"/>
    <row r="843" s="13" customFormat="1"/>
    <row r="844" s="13" customFormat="1"/>
    <row r="845" s="13" customFormat="1"/>
    <row r="846" s="13" customFormat="1"/>
    <row r="847" s="13" customFormat="1"/>
    <row r="848" s="13" customFormat="1"/>
    <row r="849" s="13" customFormat="1"/>
    <row r="850" s="13" customFormat="1"/>
    <row r="851" s="13" customFormat="1"/>
    <row r="852" s="13" customFormat="1"/>
    <row r="853" s="13" customFormat="1"/>
    <row r="854" s="13" customFormat="1"/>
    <row r="855" s="13" customFormat="1"/>
    <row r="856" s="13" customFormat="1"/>
    <row r="857" s="13" customFormat="1"/>
    <row r="858" s="13" customFormat="1"/>
    <row r="859" s="13" customFormat="1"/>
    <row r="860" s="13" customFormat="1"/>
    <row r="861" s="13" customFormat="1"/>
    <row r="862" s="13" customFormat="1"/>
    <row r="863" s="13" customFormat="1"/>
    <row r="864" s="13" customFormat="1"/>
    <row r="865" s="13" customFormat="1"/>
    <row r="866" s="13" customFormat="1"/>
    <row r="867" s="13" customFormat="1"/>
    <row r="868" s="13" customFormat="1"/>
    <row r="869" s="13" customFormat="1"/>
    <row r="870" s="13" customFormat="1"/>
    <row r="871" s="13" customFormat="1"/>
    <row r="872" s="13" customFormat="1"/>
    <row r="873" s="13" customFormat="1"/>
    <row r="874" s="13" customFormat="1"/>
    <row r="875" s="13" customFormat="1"/>
    <row r="876" s="13" customFormat="1"/>
    <row r="877" s="13" customFormat="1"/>
    <row r="878" s="13" customFormat="1"/>
    <row r="879" s="13" customFormat="1"/>
    <row r="880" s="13" customFormat="1"/>
    <row r="881" s="13" customFormat="1"/>
    <row r="882" s="13" customFormat="1"/>
    <row r="883" s="13" customFormat="1"/>
    <row r="884" s="13" customFormat="1"/>
    <row r="885" s="13" customFormat="1"/>
    <row r="886" s="13" customFormat="1"/>
    <row r="887" s="13" customFormat="1"/>
    <row r="888" s="13" customFormat="1"/>
    <row r="889" s="13" customFormat="1"/>
    <row r="890" s="13" customFormat="1"/>
    <row r="891" s="13" customFormat="1"/>
    <row r="892" s="13" customFormat="1"/>
    <row r="893" s="13" customFormat="1"/>
    <row r="894" s="13" customFormat="1"/>
    <row r="895" s="13" customFormat="1"/>
    <row r="896" s="13" customFormat="1"/>
    <row r="897" s="13" customFormat="1"/>
    <row r="898" s="13" customFormat="1"/>
    <row r="899" s="13" customFormat="1"/>
    <row r="900" s="13" customFormat="1"/>
    <row r="901" s="13" customFormat="1"/>
    <row r="902" s="13" customFormat="1"/>
    <row r="903" s="13" customFormat="1"/>
    <row r="904" s="13" customFormat="1"/>
    <row r="905" s="13" customFormat="1"/>
    <row r="906" s="13" customFormat="1"/>
    <row r="907" s="13" customFormat="1"/>
    <row r="908" s="13" customFormat="1"/>
    <row r="909" s="13" customFormat="1"/>
    <row r="910" s="13" customFormat="1"/>
    <row r="911" s="13" customFormat="1"/>
    <row r="912" s="13" customFormat="1"/>
    <row r="913" s="13" customFormat="1"/>
    <row r="914" s="13" customFormat="1"/>
    <row r="915" s="13" customFormat="1"/>
    <row r="916" s="13" customFormat="1"/>
    <row r="917" s="13" customFormat="1"/>
    <row r="918" s="13" customFormat="1"/>
    <row r="919" s="13" customFormat="1"/>
    <row r="920" s="13" customFormat="1"/>
    <row r="921" s="13" customFormat="1"/>
    <row r="922" s="13" customFormat="1"/>
    <row r="923" s="13" customFormat="1"/>
    <row r="924" s="13" customFormat="1"/>
    <row r="925" s="13" customFormat="1"/>
    <row r="926" s="13" customFormat="1"/>
    <row r="927" s="13" customFormat="1"/>
    <row r="928" s="13" customFormat="1"/>
    <row r="929" s="13" customFormat="1"/>
    <row r="930" s="13" customFormat="1"/>
    <row r="931" s="13" customFormat="1"/>
    <row r="932" s="13" customFormat="1"/>
    <row r="933" s="13" customFormat="1"/>
    <row r="934" s="13" customFormat="1"/>
    <row r="935" s="13" customFormat="1"/>
    <row r="936" s="13" customFormat="1"/>
    <row r="937" s="13" customFormat="1"/>
    <row r="938" s="13" customFormat="1"/>
    <row r="939" s="13" customFormat="1"/>
    <row r="940" s="13" customFormat="1"/>
    <row r="941" s="13" customFormat="1"/>
    <row r="942" s="13" customFormat="1"/>
    <row r="943" s="13" customFormat="1"/>
    <row r="944" s="13" customFormat="1"/>
    <row r="945" s="13" customFormat="1"/>
    <row r="946" s="13" customFormat="1"/>
    <row r="947" s="13" customFormat="1"/>
    <row r="948" s="13" customFormat="1"/>
    <row r="949" s="13" customFormat="1"/>
    <row r="950" s="13" customFormat="1"/>
    <row r="951" s="13" customFormat="1"/>
    <row r="952" s="13" customFormat="1"/>
    <row r="953" s="13" customFormat="1"/>
    <row r="954" s="13" customFormat="1"/>
    <row r="955" s="13" customFormat="1"/>
    <row r="956" s="13" customFormat="1"/>
    <row r="957" s="13" customFormat="1"/>
    <row r="958" s="13" customFormat="1"/>
    <row r="959" s="13" customFormat="1"/>
    <row r="960" s="13" customFormat="1"/>
    <row r="961" s="13" customFormat="1"/>
    <row r="962" s="13" customFormat="1"/>
    <row r="963" s="13" customFormat="1"/>
    <row r="964" s="13" customFormat="1"/>
    <row r="965" s="13" customFormat="1"/>
    <row r="966" s="13" customFormat="1"/>
    <row r="967" s="13" customFormat="1"/>
    <row r="968" s="13" customFormat="1"/>
    <row r="969" s="13" customFormat="1"/>
    <row r="970" s="13" customFormat="1"/>
    <row r="971" s="13" customFormat="1"/>
    <row r="972" s="13" customFormat="1"/>
    <row r="973" s="13" customFormat="1"/>
    <row r="974" s="13" customFormat="1"/>
    <row r="975" s="13" customFormat="1"/>
    <row r="976" s="13" customFormat="1"/>
    <row r="977" s="13" customFormat="1"/>
    <row r="978" s="13" customFormat="1"/>
    <row r="979" s="13" customFormat="1"/>
    <row r="980" s="13" customFormat="1"/>
    <row r="981" s="13" customFormat="1"/>
    <row r="982" s="13" customFormat="1"/>
    <row r="983" s="13" customFormat="1"/>
    <row r="984" s="13" customFormat="1"/>
    <row r="985" s="13" customFormat="1"/>
    <row r="986" s="13" customFormat="1"/>
    <row r="987" s="13" customFormat="1"/>
    <row r="988" s="13" customFormat="1"/>
    <row r="989" s="13" customFormat="1"/>
    <row r="990" s="13" customFormat="1"/>
    <row r="991" s="13" customFormat="1"/>
    <row r="992" s="13" customFormat="1"/>
    <row r="993" s="13" customFormat="1"/>
  </sheetData>
  <protectedRanges>
    <protectedRange password="CC3D" sqref="AN21:AN322" name="Range1"/>
  </protectedRanges>
  <dataConsolidate/>
  <mergeCells count="23">
    <mergeCell ref="AO21:CD21"/>
    <mergeCell ref="A8:AM8"/>
    <mergeCell ref="A7:AM7"/>
    <mergeCell ref="F19:AN20"/>
    <mergeCell ref="E19:E22"/>
    <mergeCell ref="F21:AM21"/>
    <mergeCell ref="AO19:CE20"/>
    <mergeCell ref="A19:A22"/>
    <mergeCell ref="B19:B22"/>
    <mergeCell ref="D19:D22"/>
    <mergeCell ref="A12:AM12"/>
    <mergeCell ref="C16:Q16"/>
    <mergeCell ref="C17:Q17"/>
    <mergeCell ref="A10:AM10"/>
    <mergeCell ref="A11:AM11"/>
    <mergeCell ref="A1:D1"/>
    <mergeCell ref="E1:AM3"/>
    <mergeCell ref="A2:D2"/>
    <mergeCell ref="A3:D3"/>
    <mergeCell ref="A9:AM9"/>
    <mergeCell ref="A4:AM4"/>
    <mergeCell ref="A6:AM6"/>
    <mergeCell ref="A5:AM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 maths 1 &amp; 2</vt:lpstr>
      <vt:lpstr>Sheet2</vt:lpstr>
      <vt:lpstr>Sheet1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MUHD LUQMAN HAKEEM BIN HAJI ABDUL SHAIB</cp:lastModifiedBy>
  <cp:revision/>
  <dcterms:created xsi:type="dcterms:W3CDTF">2009-10-20T02:36:29Z</dcterms:created>
  <dcterms:modified xsi:type="dcterms:W3CDTF">2025-11-17T03:15:40Z</dcterms:modified>
</cp:coreProperties>
</file>